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bhishek1/Downloads/Local govt/OneDrive_5_2-4-2026/Data/"/>
    </mc:Choice>
  </mc:AlternateContent>
  <xr:revisionPtr revIDLastSave="0" documentId="8_{112581D6-6051-DF4C-B4F4-BC661809A60B}" xr6:coauthVersionLast="47" xr6:coauthVersionMax="47" xr10:uidLastSave="{00000000-0000-0000-0000-000000000000}"/>
  <bookViews>
    <workbookView xWindow="0" yWindow="660" windowWidth="29400" windowHeight="18460" activeTab="2" xr2:uid="{C7B3258B-6BE2-EB4F-9609-A107DC9DD84E}"/>
  </bookViews>
  <sheets>
    <sheet name="ConceptDomain_Summary" sheetId="5" r:id="rId1"/>
    <sheet name="MatchType_Summary" sheetId="7" r:id="rId2"/>
    <sheet name="crosswalk_Table" sheetId="1" r:id="rId3"/>
  </sheets>
  <definedNames>
    <definedName name="_xlnm._FilterDatabase" localSheetId="2" hidden="1">crosswalk_Table!$A$1:$O$51</definedName>
  </definedNames>
  <calcPr calcId="191029"/>
  <pivotCaches>
    <pivotCache cacheId="19" r:id="rId4"/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" i="1" l="1"/>
  <c r="P48" i="1"/>
  <c r="P49" i="1"/>
  <c r="P50" i="1"/>
  <c r="P5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2" i="1"/>
</calcChain>
</file>

<file path=xl/sharedStrings.xml><?xml version="1.0" encoding="utf-8"?>
<sst xmlns="http://schemas.openxmlformats.org/spreadsheetml/2006/main" count="792" uniqueCount="443">
  <si>
    <t>Concept_Domain</t>
  </si>
  <si>
    <t>Harmonized_Variable_Name</t>
  </si>
  <si>
    <t>ARISE_Question_ID</t>
  </si>
  <si>
    <t>ARISE_Variable_Name</t>
  </si>
  <si>
    <t>ARISE_Question_Text_Short</t>
  </si>
  <si>
    <t>ARISE_Response_Coding</t>
  </si>
  <si>
    <t>CivicPulse_Question_Block</t>
  </si>
  <si>
    <t>CivicPulse_Variable_Name</t>
  </si>
  <si>
    <t>CivicPulse_Question_Text_Short</t>
  </si>
  <si>
    <t>CivicPulse_Response_Coding</t>
  </si>
  <si>
    <t>Match_Type</t>
  </si>
  <si>
    <t>Harmonization_Rule</t>
  </si>
  <si>
    <t>Output_Scale</t>
  </si>
  <si>
    <t>Missing_Value_Rule</t>
  </si>
  <si>
    <t>Notes</t>
  </si>
  <si>
    <t>Workforce Capacity</t>
  </si>
  <si>
    <t>workforce_challenge_level</t>
  </si>
  <si>
    <t>Q8_challenging_with_workforce</t>
  </si>
  <si>
    <t>Workforce challenge maintaining sufficient staff (past 5 years)</t>
  </si>
  <si>
    <t>1=Not challenging at all; 2=Slightly; 3=Moderately; 4=Very; 5=Extremely; NA=Did not respond</t>
  </si>
  <si>
    <t>Workforce_SC</t>
  </si>
  <si>
    <t>Stored as CivicPulse codes: 1=Not challenging at all; 2=Slightly; 3=Moderately; 4=Very; 5=Extremely; 'NA'=missing</t>
  </si>
  <si>
    <t>Exact</t>
  </si>
  <si>
    <t>Direct label-to-label map to unified 1-5 ordered scale</t>
  </si>
  <si>
    <t>Ordinal (1-5)</t>
  </si>
  <si>
    <t>ARISE NA -&gt; missing; CivicPulse 'NA' -&gt; missing</t>
  </si>
  <si>
    <t>Strong wording alignment</t>
  </si>
  <si>
    <t>Fiscal Condition</t>
  </si>
  <si>
    <t>fiscal_condition_overall</t>
  </si>
  <si>
    <t>Q119_overall.fiscal.condition</t>
  </si>
  <si>
    <t>Overall fiscal condition over past 5 years</t>
  </si>
  <si>
    <t>1=Very poor; 2=Poor; 3=Fair; 4=Good; 5=Excellent; NA</t>
  </si>
  <si>
    <t>Condition_SC</t>
  </si>
  <si>
    <t>Stored as CivicPulse codes: 1=Very poor; 2=Poor; 3=Fair; 4=Good; 5=Excellent; 'NA'=missing</t>
  </si>
  <si>
    <t>Definition is essentially the same</t>
  </si>
  <si>
    <t>Infrastructure Finance</t>
  </si>
  <si>
    <t>infra_finance_spending_gap</t>
  </si>
  <si>
    <t>Q14_1_Spending.behind.needs</t>
  </si>
  <si>
    <t>Spending has not kept pace with infrastructure/community needs</t>
  </si>
  <si>
    <t>1=Strongly agree; 2=Somewhat agree; 4=Somewhat disagree; 5=Strongly disagree; NA</t>
  </si>
  <si>
    <t>Infrastructure_GR</t>
  </si>
  <si>
    <t>Infra_GR_spending</t>
  </si>
  <si>
    <t>Spending has not kept pace with community needs</t>
  </si>
  <si>
    <t>Stored as CivicPulse codes: 1=Strongly agree; 2=Somewhat agree; 3=Neither agree nor disagree; 4=Somewhat disagree; 5=Strongly disagree; 'NA'=missing</t>
  </si>
  <si>
    <t>Partial (scale mismatch)</t>
  </si>
  <si>
    <t>ARISE lacks neutral. Recode both to 3-level (Agree / Neutral-or-Unknown / Disagree) or keep source-specific ordinal with source flag</t>
  </si>
  <si>
    <t>Ordinal (3-level or source-specific ordinal)</t>
  </si>
  <si>
    <t>Negative wording retained in harmonized name to avoid confusion</t>
  </si>
  <si>
    <t>infra_finance_unstable_funding</t>
  </si>
  <si>
    <t>Q14_2_Rely.on.unstable.funding</t>
  </si>
  <si>
    <t>Relies on limited or unstable funding sources</t>
  </si>
  <si>
    <t>Infra_GR_relies</t>
  </si>
  <si>
    <t>Relies on limited unstable funding</t>
  </si>
  <si>
    <t>Same harmonization as infra_finance_spending_gap</t>
  </si>
  <si>
    <t>Ordinal</t>
  </si>
  <si>
    <t>Very close semantic match</t>
  </si>
  <si>
    <t>infra_finance_budget_constraints</t>
  </si>
  <si>
    <t>Q14_3_Constrained.budgets</t>
  </si>
  <si>
    <t>Budget constraints make funding allocation difficult</t>
  </si>
  <si>
    <t>Infra_GR_budget</t>
  </si>
  <si>
    <t>Budget constraints force difficult funding decisions</t>
  </si>
  <si>
    <t>Disaster Services Availability</t>
  </si>
  <si>
    <t>service_early_warning_available</t>
  </si>
  <si>
    <t>Q9_1_Early.warning</t>
  </si>
  <si>
    <t>Early warning emergency systems in place</t>
  </si>
  <si>
    <t>1=Selected; 0=Not selected</t>
  </si>
  <si>
    <t>Services_GR</t>
  </si>
  <si>
    <t>Services_GR_early</t>
  </si>
  <si>
    <t>Early warning emergency systems (provider/availability)</t>
  </si>
  <si>
    <t>Stored as CivicPulse provider codes: 1=Municipality; 2=Township; 3=County; 4=Other entity; 5=Not provided; comma-separated combinations possible (e.g. '1,3'); 'NA'=missing</t>
  </si>
  <si>
    <t>Partial (granularity mismatch)</t>
  </si>
  <si>
    <t>Recode CivicPulse to binary availability: if value contains 1/2/3/4 then 1; if value='5' then 0; if value='NA' then missing. Align ARISE selected=1 / not selected=0</t>
  </si>
  <si>
    <t>Binary (0/1)</t>
  </si>
  <si>
    <t>ARISE missing Q9 -&gt; missing; CivicPulse 'NA' -&gt; missing; CivicPulse code '5'=Not provided (not missing)</t>
  </si>
  <si>
    <t>CivicPulse stores provider detail; ARISE stores availability</t>
  </si>
  <si>
    <t>service_backup_electric_available</t>
  </si>
  <si>
    <t>Q9_3_Backup.electric</t>
  </si>
  <si>
    <t>Backup electric supply for critical infrastructure in place</t>
  </si>
  <si>
    <t>Services_GR_backup</t>
  </si>
  <si>
    <t>Backup electric supply for critical infrastructure (provider/availability)</t>
  </si>
  <si>
    <t>Stored as CivicPulse provider codes: 1=Municipality; 2=Township; 3=County; 4=Other entity; 5=Not provided; comma-separated combinations possible; 'NA'=missing</t>
  </si>
  <si>
    <t>service_evacuation_plan_available</t>
  </si>
  <si>
    <t>Q9_9_Evacuation.route.or.plan</t>
  </si>
  <si>
    <t>Evacuation route or plan in place</t>
  </si>
  <si>
    <t>Services_GR_evac</t>
  </si>
  <si>
    <t>Evacuation plans (provider/availability)</t>
  </si>
  <si>
    <t>ARISE says route or plan; CivicPulse says plans</t>
  </si>
  <si>
    <t>service_utility_shutoff_assistance_available</t>
  </si>
  <si>
    <t>Q9_17_Financial.assistance.for.low.income.shut.offs</t>
  </si>
  <si>
    <t>Financial assistance to prevent low-income utility shut-offs</t>
  </si>
  <si>
    <t>Services_GR_financial</t>
  </si>
  <si>
    <t>Financial assistance to prevent utility shut-offs (provider/availability)</t>
  </si>
  <si>
    <t>ARISE wording explicitly references low-income residents</t>
  </si>
  <si>
    <t>service_heating_cooling_stations_available</t>
  </si>
  <si>
    <t>Q9_18_Heating.or.cooling.stations</t>
  </si>
  <si>
    <t>Heating or cooling stations open to public</t>
  </si>
  <si>
    <t>Services_GR_heating</t>
  </si>
  <si>
    <t>Heating or cooling stations (provider/availability)</t>
  </si>
  <si>
    <t>Very strong match</t>
  </si>
  <si>
    <t>service_public_tornado_shelter_preparedness</t>
  </si>
  <si>
    <t>Q9_19_Tornado.shelter</t>
  </si>
  <si>
    <t>Storm/tornado shelter item (ARISE wording is requirement-oriented)</t>
  </si>
  <si>
    <t>Services_GR_public</t>
  </si>
  <si>
    <t>Public tornado shelters (provider/availability)</t>
  </si>
  <si>
    <t>Weak partial (concept-related; not equivalent)</t>
  </si>
  <si>
    <t>Do not pool as identical service. If used derive broader tornado-shelter preparedness concept and keep source flag</t>
  </si>
  <si>
    <t>Source-specific binary or excluded from pooled models</t>
  </si>
  <si>
    <t>Wording is not equivalent</t>
  </si>
  <si>
    <t>Accessibility / Inclusion</t>
  </si>
  <si>
    <t>early_warning_multilingual</t>
  </si>
  <si>
    <t>Q9_2_Early.warning_Lang</t>
  </si>
  <si>
    <t>Early warning systems in multiple languages</t>
  </si>
  <si>
    <t>Early_SC</t>
  </si>
  <si>
    <t>Are early warning systems provided in multiple languages?</t>
  </si>
  <si>
    <t>Stored as CivicPulse codes: 1=Yes; 2=No; 3=I don't know; 'NA'=missing</t>
  </si>
  <si>
    <t>Partial (binary vs yes/no/idk)</t>
  </si>
  <si>
    <t>Map ARISE selected=1/not selected=0; CivicPulse 1=Yes -&gt; 1; 2=No -&gt; 0; 3=I don't know -&gt; missing</t>
  </si>
  <si>
    <t>ARISE missing Q9 -&gt; missing; CivicPulse 'NA' or code '3' -&gt; missing</t>
  </si>
  <si>
    <t>Strong content match</t>
  </si>
  <si>
    <t>evacuation_support_no_car_households</t>
  </si>
  <si>
    <t>Q9_10_Evacuation.plan</t>
  </si>
  <si>
    <t>Evacuation plan includes support for households without cars / vulnerable populations</t>
  </si>
  <si>
    <t>Evacuation_SC</t>
  </si>
  <si>
    <t>Evacuation plans include provisions for households without cars</t>
  </si>
  <si>
    <t>ARISE wording is broader but concept overlaps</t>
  </si>
  <si>
    <t>Respondent Demographics</t>
  </si>
  <si>
    <t>respondent_tenure_local_gov</t>
  </si>
  <si>
    <t>Q29_work.year</t>
  </si>
  <si>
    <t>Years worked with local government organization</t>
  </si>
  <si>
    <t>ARISE labels: &lt;1 year; &gt;1 to 5 years; &gt;5 to 10 years; &gt;10 to 15 years; &gt;15 years; NA</t>
  </si>
  <si>
    <t>Tenure_SC</t>
  </si>
  <si>
    <t>Stored as CivicPulse codes: 1=Less than 1 year; 2=Over 1 year up to 5 years; 3=Over 5 years up to 10 years; 4=Over 10 years up to 15 years; 5=Over 15 years; 'NA'=missing</t>
  </si>
  <si>
    <t>Exact (labels)</t>
  </si>
  <si>
    <t>Harmonize by labels (not ARISE raw codes which are non-consecutive)</t>
  </si>
  <si>
    <t>Ordinal (5 categories)</t>
  </si>
  <si>
    <t>Do not use ARISE raw numeric codes directly</t>
  </si>
  <si>
    <t>respondent_education_level</t>
  </si>
  <si>
    <t>Q30_education</t>
  </si>
  <si>
    <t>Highest education completed</t>
  </si>
  <si>
    <t>ARISE: Less than high school; High school graduate; Some college; 2 year degree; 4 year degree; Graduate degree; NA</t>
  </si>
  <si>
    <t>Education_SC</t>
  </si>
  <si>
    <t>Stored as CivicPulse codes: 1=Less than high school; 2=High school graduate; 3=Technical/trade school; 4=Some college; 5=College graduate; 6=Some graduate school; 7=Graduate degree; 'NA'=missing</t>
  </si>
  <si>
    <t>Partial (category mismatch)</t>
  </si>
  <si>
    <t>Map by labels and collapse to common scale: &lt;HS; HS; Some college/tech; 2-4 year degree; Graduate degree</t>
  </si>
  <si>
    <t>Ordinal (collapsed 1-5 recommended)</t>
  </si>
  <si>
    <t>CivicPulse has extra categories (trade school and some graduate school)</t>
  </si>
  <si>
    <t>Equity / Inclusion</t>
  </si>
  <si>
    <t>equity_group_elderly_support</t>
  </si>
  <si>
    <t>Q10_1_Elderly.people</t>
  </si>
  <si>
    <t>City has taken action to support elderly people</t>
  </si>
  <si>
    <t>Groups_GR</t>
  </si>
  <si>
    <t>Groups_GR_elderly</t>
  </si>
  <si>
    <t>Confidence can meet needs of elderly people in a disaster</t>
  </si>
  <si>
    <t>Stored as CivicPulse codes: 1=Not at all confident; 2=Slightly confident; 3=Somewhat confident; 4=Confident; 5=Very confident; 6=Not applicable; 'NA'=missing</t>
  </si>
  <si>
    <t>Partial (measurement mismatch)</t>
  </si>
  <si>
    <t>Do not directly pool raw values. ARISE is action-taken (binary); CivicPulse is confidence (ordinal). Use source-specific values or derived concept indicator with source flag</t>
  </si>
  <si>
    <t>Source-specific binary/ordinal or derived concept indicator</t>
  </si>
  <si>
    <t>ARISE missing Q10 -&gt; missing; CivicPulse 'NA' -&gt; missing; CivicPulse code '6'=Not applicable -&gt; missing (recommended)</t>
  </si>
  <si>
    <t>Same target group but different measurement</t>
  </si>
  <si>
    <t>equity_group_low_income_support</t>
  </si>
  <si>
    <t>Q10_2_Low.income</t>
  </si>
  <si>
    <t>City has taken action to support low-income residents</t>
  </si>
  <si>
    <t>Groups_GR_low</t>
  </si>
  <si>
    <t>Confidence can meet needs of low-income households in a disaster</t>
  </si>
  <si>
    <t>Concept aligns well but measure differs</t>
  </si>
  <si>
    <t>equity_group_homeless_support</t>
  </si>
  <si>
    <t>Q10_3_Homeless</t>
  </si>
  <si>
    <t>City has taken action to support homeless people</t>
  </si>
  <si>
    <t>Groups_GR_homeless</t>
  </si>
  <si>
    <t>Confidence can meet needs of homeless people in a disaster</t>
  </si>
  <si>
    <t>Strong concept match</t>
  </si>
  <si>
    <t>equity_group_non_english_support</t>
  </si>
  <si>
    <t>Q10_4_Non.English</t>
  </si>
  <si>
    <t>City has taken action to support non-English speakers</t>
  </si>
  <si>
    <t>Groups_GR_non</t>
  </si>
  <si>
    <t>Confidence can meet needs of non-English speakers in a disaster</t>
  </si>
  <si>
    <t>equity_group_racial_ethnic_minorities_support</t>
  </si>
  <si>
    <t>Q10_5_Racial.minorities</t>
  </si>
  <si>
    <t>City has taken action to support racial/ethnic minority residents</t>
  </si>
  <si>
    <t>None</t>
  </si>
  <si>
    <t>No direct CivicPulse group row found for racial/ethnic minority residents</t>
  </si>
  <si>
    <t>N/A</t>
  </si>
  <si>
    <t>No match (ARISE-only group concept)</t>
  </si>
  <si>
    <t>Keep as ARISE-only; do not harmonize across sources</t>
  </si>
  <si>
    <t>ARISE-only binary (0/1)</t>
  </si>
  <si>
    <t>ARISE missing Q10 -&gt; missing</t>
  </si>
  <si>
    <t>CivicPulse Groups_GR in provided codebook does not include a direct racial/ethnic minority item</t>
  </si>
  <si>
    <t>equity_group_disability_support</t>
  </si>
  <si>
    <t>Q10_6_Disabled</t>
  </si>
  <si>
    <t>City has taken action to support people with disabilities</t>
  </si>
  <si>
    <t>Groups_GR_people</t>
  </si>
  <si>
    <t>Confidence can meet needs of people with physical disabilities in a disaster</t>
  </si>
  <si>
    <t>equity_group_immigrant_refugee_support</t>
  </si>
  <si>
    <t>Q10_9_Immigrants</t>
  </si>
  <si>
    <t>City has taken action to support immigrants/refugees</t>
  </si>
  <si>
    <t>Groups_GR_undoc</t>
  </si>
  <si>
    <t>Confidence can meet needs of undocumented immigrants in a disaster</t>
  </si>
  <si>
    <t>Partial (population mismatch)</t>
  </si>
  <si>
    <t>Related but narrower CivicPulse population. Keep source flag and avoid strict equivalence in pooled inference</t>
  </si>
  <si>
    <t>CivicPulse item is undocumented immigrants (narrower)</t>
  </si>
  <si>
    <t>equity_actions_count</t>
  </si>
  <si>
    <t>Q10_multi</t>
  </si>
  <si>
    <t>Q10_1/Q10_2/Q10_3/Q10_4/Q10_5/Q10_6/Q10_9</t>
  </si>
  <si>
    <t>Count of vulnerable groups for which city reports taking action</t>
  </si>
  <si>
    <t>Sum selected across listed Q10 items (0-7)</t>
  </si>
  <si>
    <t>Groups_GR_all_rows</t>
  </si>
  <si>
    <t>Summary confidence across vulnerable groups</t>
  </si>
  <si>
    <t>Computed from Groups_GR_elderly, Groups_GR_low, Groups_GR_homeless, Groups_GR_non, Groups_GR_people, Groups_GR_undoc using stored codes 1-5 as confidence; code 6=Not applicable; 'NA'=missing</t>
  </si>
  <si>
    <t>Derived (concept-level)</t>
  </si>
  <si>
    <t>Create source-specific summary then standardize within source before pooling</t>
  </si>
  <si>
    <t>Derived continuous summary</t>
  </si>
  <si>
    <t>If &gt;50% component items missing then set summary missing; treat CivicPulse code '6' and 'NA' as missing for summary</t>
  </si>
  <si>
    <t>Recommended primary harmonized equity-preparedness construct</t>
  </si>
  <si>
    <t>Grant / External Funding</t>
  </si>
  <si>
    <t>grant_funding_competitiveness</t>
  </si>
  <si>
    <t>Q5_success_grants_secure</t>
  </si>
  <si>
    <t>Success obtaining external grants/funding for hazard mitigation or related projects</t>
  </si>
  <si>
    <t>1=Not at all successful; 2=Slightly successful; 3=Moderately successful; 4=Very successful; 6=Did not apply; NA</t>
  </si>
  <si>
    <t>Infra_GR_competes</t>
  </si>
  <si>
    <t>Local government competes effectively for grants and external funds</t>
  </si>
  <si>
    <t>Partial (performance vs perception)</t>
  </si>
  <si>
    <t>Do not directly equate raw scales. Harmonize as concept-level grant capacity indicator and standardize within source if pooling</t>
  </si>
  <si>
    <t>Source-specific ordinal or standardized derived score</t>
  </si>
  <si>
    <t>ARISE code 6 (Did not apply) -&gt; separate category or missing; CivicPulse 'NA' -&gt; missing</t>
  </si>
  <si>
    <t>Strong conceptual match but different framing</t>
  </si>
  <si>
    <t>grant_barrier_staff_capacity</t>
  </si>
  <si>
    <t>Q6_1_Lack.of.staff</t>
  </si>
  <si>
    <t>Lack of staff is a barrier to securing grants</t>
  </si>
  <si>
    <t>No direct CivicPulse equivalent identified</t>
  </si>
  <si>
    <t>No match (ARISE-only)</t>
  </si>
  <si>
    <t>Keep as ARISE-only grant-barrier variable</t>
  </si>
  <si>
    <t>ARISE missing Q6 -&gt; missing</t>
  </si>
  <si>
    <t>ARISE-specific grant barrier detail</t>
  </si>
  <si>
    <t>grant_barrier_deadlines</t>
  </si>
  <si>
    <t>Q6_2_Quick.deadlines</t>
  </si>
  <si>
    <t>Short turnaround / quick deadlines are a grant barrier</t>
  </si>
  <si>
    <t>grant_barrier_matching_requirements</t>
  </si>
  <si>
    <t>Q6_3_Matching.req.challenges</t>
  </si>
  <si>
    <t>Matching requirements are a grant barrier</t>
  </si>
  <si>
    <t>grant_barrier_funding_information</t>
  </si>
  <si>
    <t>Q6_4_Lack.of.fund.info</t>
  </si>
  <si>
    <t>Lack of information on funding opportunities is a grant barrier</t>
  </si>
  <si>
    <t>grant_barrier_goal_disagreement</t>
  </si>
  <si>
    <t>Q6_5_Disagreement.over.goals</t>
  </si>
  <si>
    <t>Disagreement over goals is a grant barrier</t>
  </si>
  <si>
    <t>grant_barrier_capacity</t>
  </si>
  <si>
    <t>Q6_6_Lack.of.capacity</t>
  </si>
  <si>
    <t>Lack of capacity is a grant barrier</t>
  </si>
  <si>
    <t>grant_barrier_other</t>
  </si>
  <si>
    <t>Q6_7_Others</t>
  </si>
  <si>
    <t>Other grant barrier (specify in text field if present)</t>
  </si>
  <si>
    <t>grant_barrier_skip_none_selected</t>
  </si>
  <si>
    <t>Q6_SKIP</t>
  </si>
  <si>
    <t>Grant barriers none/skip indicator (derived from none-of-the-above selection)</t>
  </si>
  <si>
    <t>Q6 none-of-the-above selected -&gt; 0/skip indicator</t>
  </si>
  <si>
    <t>No CivicPulse equivalent</t>
  </si>
  <si>
    <t>Use for cleaning/denominator decisions in ARISE</t>
  </si>
  <si>
    <t>ARISE-only skip indicator</t>
  </si>
  <si>
    <t>Do not treat as a substantive barrier</t>
  </si>
  <si>
    <t>Collaboration / Networks</t>
  </si>
  <si>
    <t>partnership_with_nonprofits_proxy</t>
  </si>
  <si>
    <t>Q12_2_Lack.of.potential.partner</t>
  </si>
  <si>
    <t>Lack of potential partners is an obstacle (proxy inverse of partnership capacity)</t>
  </si>
  <si>
    <t>1=No obstacle; 2=Small obstacle; 3=Moderate obstacle; 4=Large obstacle; 5=Very large obstacle; NA</t>
  </si>
  <si>
    <t>Partner_SC</t>
  </si>
  <si>
    <t>In the past five years has your local government collaborated with nonprofit organizations on disaster preparedness or response?</t>
  </si>
  <si>
    <t>Stored as CivicPulse codes: 1=Yes; 2=No; 3=I don't know; 4=Not applicable/no disaster; 'NA'=missing</t>
  </si>
  <si>
    <t>Weak partial (proxy / reverse concept)</t>
  </si>
  <si>
    <t>Reverse-code only for concept-level comparison if needed; otherwise keep source-specific</t>
  </si>
  <si>
    <t>Source-specific proxy ordinal or binary</t>
  </si>
  <si>
    <t>ARISE NA -&gt; missing; CivicPulse 'NA' -&gt; missing; CivicPulse code '4' may be treated as missing for pooled analysis</t>
  </si>
  <si>
    <t>Proxy match only</t>
  </si>
  <si>
    <t>agency_coordination_obstacle_proxy</t>
  </si>
  <si>
    <t>Q12_1_Lack.of.support</t>
  </si>
  <si>
    <t>Lack of support from other actors/agencies is an obstacle</t>
  </si>
  <si>
    <t>Agencies_SC</t>
  </si>
  <si>
    <t>Extent of emergency management involvement in capital planning process</t>
  </si>
  <si>
    <t>Stored as CivicPulse codes: 1=Not involved at all; 2=Minimally involved; 3=Somewhat involved; 4=Highly involved; 5=Don't know; 6=Not applicable; 'NA'=missing</t>
  </si>
  <si>
    <t>Use only as a proxy with explicit reverse-direction note</t>
  </si>
  <si>
    <t>Source-specific proxy ordinal</t>
  </si>
  <si>
    <t>ARISE NA -&gt; missing; CivicPulse 'NA' -&gt; missing; CivicPulse codes '5'/'6' -&gt; missing (recommended)</t>
  </si>
  <si>
    <t>Proxy row only</t>
  </si>
  <si>
    <t>Preparedness Planning</t>
  </si>
  <si>
    <t>planning_capacity_obstacle_proxy</t>
  </si>
  <si>
    <t>Q12_3_Insufficient.internal.resources</t>
  </si>
  <si>
    <t>Insufficient internal resources is an obstacle to collaboration/planning work</t>
  </si>
  <si>
    <t>Planning_SC</t>
  </si>
  <si>
    <t>Extent to which hazard mitigation is considered in capital projects/CIP</t>
  </si>
  <si>
    <t>Stored as CivicPulse codes: 1=Not considered at all; 2=Minimally considered; 3=Somewhat considered; 4=Sufficiently considered; 5=Extensively considered; 6=Don't know; 7=Not applicable; 'NA'=missing</t>
  </si>
  <si>
    <t>Use only as a proxy if no better planning-capacity measure is available</t>
  </si>
  <si>
    <t>ARISE NA -&gt; missing; CivicPulse 'NA' -&gt; missing; CivicPulse codes '6'/'7' -&gt; missing (recommended)</t>
  </si>
  <si>
    <t>network_capacity_total_actors</t>
  </si>
  <si>
    <t>T_Num_Total / W_Num_Total / E_Num_Total</t>
  </si>
  <si>
    <t>T_Num_Total; W_Num_Total; E_Num_Total</t>
  </si>
  <si>
    <t>Total number of connected actors across transportation water and electricity systems</t>
  </si>
  <si>
    <t>Each variable ranges 0-15</t>
  </si>
  <si>
    <t>No direct CivicPulse network-size equivalent</t>
  </si>
  <si>
    <t>Retain as ARISE-only network capacity variables</t>
  </si>
  <si>
    <t>ARISE-only numeric</t>
  </si>
  <si>
    <t>ARISE missing -&gt; missing</t>
  </si>
  <si>
    <t>Strong ARISE-only governance/network signal</t>
  </si>
  <si>
    <t>network_perceived_impact</t>
  </si>
  <si>
    <t>Q116/Q117/Q118 network impact</t>
  </si>
  <si>
    <t>Q116_Network.important.to.T; Q117_Network.important.to.W; Q118_Network.important.to.E</t>
  </si>
  <si>
    <t>Perceived impact of city network interactions on system resilience</t>
  </si>
  <si>
    <t>1=Strong negative impact; 2=Modest negative impact; 3=No impact; 4=Modest positive impact; 5=Strong positive impact; NA</t>
  </si>
  <si>
    <t>Retain as ARISE-only network outcome variables</t>
  </si>
  <si>
    <t>ARISE-only ordinal</t>
  </si>
  <si>
    <t>ARISE NA -&gt; missing</t>
  </si>
  <si>
    <t>Use in ARISE-only analysis/discussion</t>
  </si>
  <si>
    <t>infrastructure_hardening_actions_count</t>
  </si>
  <si>
    <t>Q11_multi</t>
  </si>
  <si>
    <t>Q11_1_Transportation;Q11_2_Electricity;Q11_3_Drinking.water.treatment;Q11_4_Wastewater.treatment;Q11_5_Hospitals;Q11_6_Schools;Q11_7_Cyber..IT</t>
  </si>
  <si>
    <t>Count of infrastructure sectors where city has pursued hardening actions</t>
  </si>
  <si>
    <t>Sum selected across Q11 sector items (0-7)</t>
  </si>
  <si>
    <t>No direct row-level CivicPulse equivalent confirmed</t>
  </si>
  <si>
    <t>Keep as ARISE-only preparedness action index unless later matching variables are identified</t>
  </si>
  <si>
    <t>Categorical count (0-7)</t>
  </si>
  <si>
    <t>ARISE missing Q11 -&gt; missing</t>
  </si>
  <si>
    <t>Useful ARISE-only preparedness measure</t>
  </si>
  <si>
    <t>Infrastructure / Risk Perception</t>
  </si>
  <si>
    <t>critical_infrastructure_concern_index</t>
  </si>
  <si>
    <t>Q4_multi</t>
  </si>
  <si>
    <t>Q4_concern_electricity;Q4_concern_transportation;Q4_concern_cleanwater;Q4_concern_wastewater</t>
  </si>
  <si>
    <t>Concern about resilience of core infrastructure systems</t>
  </si>
  <si>
    <t>Each Q4 concern item ordered categorical; build summary index if needed</t>
  </si>
  <si>
    <t>Asset_SC</t>
  </si>
  <si>
    <t>Condition of capital assets and infrastructure in jurisdiction</t>
  </si>
  <si>
    <t>Weak partial (risk concern vs asset condition)</t>
  </si>
  <si>
    <t>Do not directly pool. If needed compare as adjacent constructs with source flag</t>
  </si>
  <si>
    <t>Source-specific ordinal or derived summary</t>
  </si>
  <si>
    <t>This is not a direct equivalence</t>
  </si>
  <si>
    <t>Preparedness Experience</t>
  </si>
  <si>
    <t>hazard_experience_profile</t>
  </si>
  <si>
    <t>Q3_hazard_ranks</t>
  </si>
  <si>
    <t>Q3_1st.Dis; Q3_2nd.Dis; Q3_3rd.Dis</t>
  </si>
  <si>
    <t>Top-ranked hazards that have affected the jurisdiction</t>
  </si>
  <si>
    <t>ARISE hazard codes (ranked selections); NA</t>
  </si>
  <si>
    <t>Disaster_MS</t>
  </si>
  <si>
    <t>Disaster types experienced (multi-select)</t>
  </si>
  <si>
    <t>Stored as CivicPulse comma-delimited codes. Questionnaire indicates: 1=Loss of life; 2=Significant property damage; 3=Mass displacement of people; 4=Declared State of Emergency; 5=None of the above. Dataset also contains code '6', which should be verified before final harmonization. 'NA'=missing</t>
  </si>
  <si>
    <t>Partial (format mismatch)</t>
  </si>
  <si>
    <t>Harmonize at hazard-family level after mapping ARISE ranked hazard codes to CivicPulse disaster categories</t>
  </si>
  <si>
    <t>Source-specific categorical/multi-binary or derived hazard families</t>
  </si>
  <si>
    <t>Missing module/NA -&gt; missing; verify meaning of CivicPulse code '6' before final pooled coding</t>
  </si>
  <si>
    <t>Verify category mapping before pooled hazard-type analysis</t>
  </si>
  <si>
    <t>recent_disaster_any_indicator</t>
  </si>
  <si>
    <t>Q3_1st.Dis;Q3_2nd.Dis;Q3_3rd.Dis</t>
  </si>
  <si>
    <t>Indicator that at least one hazard/disaster was reported among top impacts</t>
  </si>
  <si>
    <t>Any non-missing ranked hazard code = 1</t>
  </si>
  <si>
    <t>Indicator any disaster type selected</t>
  </si>
  <si>
    <t>Derived from CivicPulse Disaster_MS. Treat any substantive disaster/outcome code as 1; treat 'NA' as missing; verify how code '6' should be handled before final binary construction</t>
  </si>
  <si>
    <t>Partial (derived binary)</t>
  </si>
  <si>
    <t>Create source-specific any-disaster indicator and verify comparable reference period before pooling</t>
  </si>
  <si>
    <t>Time window may differ across surveys</t>
  </si>
  <si>
    <t>Preparedness / Inclusion</t>
  </si>
  <si>
    <t>services_accessibility_index</t>
  </si>
  <si>
    <t>Q9_accessibility_multi</t>
  </si>
  <si>
    <t>Q9_2_Early.warning_Lang; Q9_10_Evacuation.plan; Q9_17_Financial.assistance.for.low.income.shut.offs; Q9_18_Heating.or.cooling.stations</t>
  </si>
  <si>
    <t>Accessibility-related supports index</t>
  </si>
  <si>
    <t>Sum of selected ARISE accessibility-related items</t>
  </si>
  <si>
    <t>Services_GR + Early_SC + Evacuation_SC</t>
  </si>
  <si>
    <t>Derived from Services_GR_*/Early_SC/Evacuation_SC</t>
  </si>
  <si>
    <t>Accessibility-related preparedness supports index</t>
  </si>
  <si>
    <t>Derived from recoded binary components: Services_GR_financial, Services_GR_heating, Early_SC, Evacuation_SC; service-grid fields use provider-code logic; 'NA'=missing</t>
  </si>
  <si>
    <t>Create a harmonized accessibility index using binary recodes of comparable items</t>
  </si>
  <si>
    <t>Derived count or proportion</t>
  </si>
  <si>
    <t>Require at least 50 percent component availability to compute; treat CivicPulse 'NA' as missing</t>
  </si>
  <si>
    <t>Good composite for final visuals</t>
  </si>
  <si>
    <t>CivicPulse-only</t>
  </si>
  <si>
    <t>groups_children_capacity</t>
  </si>
  <si>
    <t>No direct ARISE equivalent for confidence meeting needs of children</t>
  </si>
  <si>
    <t>Groups_GR_children</t>
  </si>
  <si>
    <t>Confidence can meet needs of children in a disaster</t>
  </si>
  <si>
    <t>No match (CivicPulse-only)</t>
  </si>
  <si>
    <t>Retain as CivicPulse-only or include in CivicPulse-only summaries</t>
  </si>
  <si>
    <t>CivicPulse-only ordinal</t>
  </si>
  <si>
    <t>CivicPulse 'NA' -&gt; missing; CivicPulse code '6'=Not applicable -&gt; missing (recommended)</t>
  </si>
  <si>
    <t>Documented unmatched CivicPulse content</t>
  </si>
  <si>
    <t>asset_condition_capacity_block</t>
  </si>
  <si>
    <t>No confirmed ARISE equivalent for CivicPulse asset-condition block</t>
  </si>
  <si>
    <t>Condition of capital assets and infrastructure</t>
  </si>
  <si>
    <t>Retain unless a direct ARISE equivalent is later identified</t>
  </si>
  <si>
    <t>CivicPulse 'NA' -&gt; missing</t>
  </si>
  <si>
    <t>Do not force-match</t>
  </si>
  <si>
    <t>agencies_capacity_block</t>
  </si>
  <si>
    <t>No confirmed ARISE equivalent for CivicPulse agencies block</t>
  </si>
  <si>
    <t>No match / Pending row-level verification</t>
  </si>
  <si>
    <t>Retain until a direct row-level ARISE alignment is verified</t>
  </si>
  <si>
    <t>CivicPulse 'NA' -&gt; missing; CivicPulse codes '5'/'6' -&gt; missing (recommended for pooled analysis)</t>
  </si>
  <si>
    <t>Block-level placeholder for unmatched content</t>
  </si>
  <si>
    <t>planning_capacity_block</t>
  </si>
  <si>
    <t>No confirmed ARISE equivalent for CivicPulse planning block</t>
  </si>
  <si>
    <t>Retain until a direct ARISE alignment is verified</t>
  </si>
  <si>
    <t>CivicPulse 'NA' -&gt; missing; CivicPulse codes '6'/'7' -&gt; missing (recommended for pooled analysis)</t>
  </si>
  <si>
    <t>Administrative / Metadata</t>
  </si>
  <si>
    <t>source_survey</t>
  </si>
  <si>
    <t>source</t>
  </si>
  <si>
    <t>Survey source identifier</t>
  </si>
  <si>
    <t>ARISE or CivicPulse</t>
  </si>
  <si>
    <t>Exact (administrative)</t>
  </si>
  <si>
    <t>Create manually in combined dataset</t>
  </si>
  <si>
    <t>Nominal</t>
  </si>
  <si>
    <t>No missing allowed</t>
  </si>
  <si>
    <t>Required for pooled analyses</t>
  </si>
  <si>
    <t>respondent_or_case_id</t>
  </si>
  <si>
    <t>ResponseId</t>
  </si>
  <si>
    <t>Unique ARISE response identifier</t>
  </si>
  <si>
    <t>String/numeric ID</t>
  </si>
  <si>
    <t>Administrative</t>
  </si>
  <si>
    <t>Respondentid</t>
  </si>
  <si>
    <t>Unique CivicPulse response identifier</t>
  </si>
  <si>
    <t>Create combined unique ID = source + '_' + nativeID</t>
  </si>
  <si>
    <t>String ID</t>
  </si>
  <si>
    <t>If native ID missing create fallback row index</t>
  </si>
  <si>
    <t>Use source-native IDs</t>
  </si>
  <si>
    <t>jurisdiction_name</t>
  </si>
  <si>
    <t>No confirmed jurisdiction-name field in current uploaded ARISE general dataset</t>
  </si>
  <si>
    <t>govname</t>
  </si>
  <si>
    <t>Local government / jurisdiction name</t>
  </si>
  <si>
    <t>Stored as text (e.g. city/county government name)</t>
  </si>
  <si>
    <t>Partial (CivicPulse-only confirmed in current uploaded data)</t>
  </si>
  <si>
    <t>Keep CivicPulse govname; add ARISE jurisdiction field later only if a version containing it is provided</t>
  </si>
  <si>
    <t>Text</t>
  </si>
  <si>
    <t>Blank -&gt; missing</t>
  </si>
  <si>
    <t>Do not invent an ARISE field for the current uploaded general dataset</t>
  </si>
  <si>
    <t>jurisdiction_type</t>
  </si>
  <si>
    <t>No confirmed ARISE government-type field in current uploaded ARISE general dataset</t>
  </si>
  <si>
    <t>Govtype</t>
  </si>
  <si>
    <t>CivicPulse government type</t>
  </si>
  <si>
    <t>Stored as text categories such as Municipality; County; Water Special District; Housing Special District</t>
  </si>
  <si>
    <t>Keep CivicPulse Govtype; add ARISE government type later only if a version containing it is provided</t>
  </si>
  <si>
    <t>Nominal categorical</t>
  </si>
  <si>
    <t>Avoid placeholder ARISE field names</t>
  </si>
  <si>
    <t>Row Labels</t>
  </si>
  <si>
    <t>Grand Total</t>
  </si>
  <si>
    <t>Count of Concept_Domain</t>
  </si>
  <si>
    <t>Match_Group</t>
  </si>
  <si>
    <t>Count of Match_Group</t>
  </si>
  <si>
    <t>No match</t>
  </si>
  <si>
    <t>Derived</t>
  </si>
  <si>
    <t>Partial</t>
  </si>
  <si>
    <t>Weak 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</si>
</sst>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[Book1.xlsx]ConceptDomain_Summary!PivotTable6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Where the Work Is Concentrated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ConceptDomain_Summary!$B$3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ConceptDomain_Summary!$A$4:$A$19</c:f>
              <c:strCache>
                <c:ptCount val="15"/>
                <c:pt idx="0">
                  <c:v>Grant / External Funding</c:v>
                </c:pt>
                <c:pt idx="1">
                  <c:v>Equity / Inclusion</c:v>
                </c:pt>
                <c:pt idx="2">
                  <c:v>Disaster Services Availability</c:v>
                </c:pt>
                <c:pt idx="3">
                  <c:v>Collaboration / Networks</c:v>
                </c:pt>
                <c:pt idx="4">
                  <c:v>CivicPulse-only</c:v>
                </c:pt>
                <c:pt idx="5">
                  <c:v>Administrative / Metadata</c:v>
                </c:pt>
                <c:pt idx="6">
                  <c:v>Infrastructure Finance</c:v>
                </c:pt>
                <c:pt idx="7">
                  <c:v>Preparedness Planning</c:v>
                </c:pt>
                <c:pt idx="8">
                  <c:v>Preparedness Experience</c:v>
                </c:pt>
                <c:pt idx="9">
                  <c:v>Accessibility / Inclusion</c:v>
                </c:pt>
                <c:pt idx="10">
                  <c:v>Respondent Demographics</c:v>
                </c:pt>
                <c:pt idx="11">
                  <c:v>Fiscal Condition</c:v>
                </c:pt>
                <c:pt idx="12">
                  <c:v>Preparedness / Inclusion</c:v>
                </c:pt>
                <c:pt idx="13">
                  <c:v>Infrastructure / Risk Perception</c:v>
                </c:pt>
                <c:pt idx="14">
                  <c:v>Workforce Capacity</c:v>
                </c:pt>
              </c:strCache>
            </c:strRef>
          </c:cat>
          <c:val>
            <c:numRef>
              <c:f>ConceptDomain_Summary!$B$4:$B$19</c:f>
              <c:numCache>
                <c:formatCode>General</c:formatCode>
                <c:ptCount val="15"/>
                <c:pt idx="0">
                  <c:v>9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4-AE4C-A3A7-2D8DF8ADC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2691263"/>
        <c:axId val="602698879"/>
      </c:barChart>
      <c:catAx>
        <c:axId val="60269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98879"/>
        <c:crosses val="autoZero"/>
        <c:auto val="1"/>
        <c:lblAlgn val="ctr"/>
        <c:lblOffset val="100"/>
        <c:noMultiLvlLbl val="0"/>
      </c:catAx>
      <c:valAx>
        <c:axId val="60269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9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[Book1.xlsx]MatchType_Summary!PivotTable8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Match Strength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MatchType_Summary!$B$3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MatchType_Summary!$A$4:$A$9</c:f>
              <c:strCache>
                <c:ptCount val="5"/>
                <c:pt idx="0">
                  <c:v>Partial</c:v>
                </c:pt>
                <c:pt idx="1">
                  <c:v>No match</c:v>
                </c:pt>
                <c:pt idx="2">
                  <c:v>Weak partial</c:v>
                </c:pt>
                <c:pt idx="3">
                  <c:v>Exact</c:v>
                </c:pt>
                <c:pt idx="4">
                  <c:v>Derived</c:v>
                </c:pt>
              </c:strCache>
            </c:strRef>
          </c:cat>
          <c:val>
            <c:numRef>
              <c:f>MatchType_Summary!$B$4:$B$9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C-F24C-803B-4754B9F8E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1532031"/>
        <c:axId val="596571711"/>
      </c:barChart>
      <c:catAx>
        <c:axId val="60153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71711"/>
        <c:crosses val="autoZero"/>
        <c:auto val="1"/>
        <c:lblAlgn val="ctr"/>
        <c:lblOffset val="100"/>
        <c:noMultiLvlLbl val="0"/>
      </c:catAx>
      <c:valAx>
        <c:axId val="59657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3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368300</xdr:colOff>
      <xdr:row>4</xdr:row>
      <xdr:rowOff>12700</xdr:rowOff>
    </xdr:from>
    <xdr:to>
      <xdr:col>16</xdr:col>
      <xdr:colOff>469900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AD0A3-CB9D-A703-A542-8597EC905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</xdr:row>
      <xdr:rowOff>12700</xdr:rowOff>
    </xdr:from>
    <xdr:to>
      <xdr:col>11</xdr:col>
      <xdr:colOff>101600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AF086-0242-2CF0-CFB4-715003756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085.370699537038" createdVersion="8" refreshedVersion="8" minRefreshableVersion="3" recordCount="51" xr:uid="{A9F1E8D3-5C42-954E-9C12-240825AECDFF}">
  <cacheSource type="worksheet">
    <worksheetSource ref="A1:O1048576" sheet="crosswalk_Table"/>
  </cacheSource>
  <cacheFields count="15">
    <cacheField name="Concept_Domain" numFmtId="0">
      <sharedItems containsBlank="1" count="16">
        <s v="Workforce Capacity"/>
        <s v="Fiscal Condition"/>
        <s v="Infrastructure Finance"/>
        <s v="Disaster Services Availability"/>
        <s v="Accessibility / Inclusion"/>
        <s v="Respondent Demographics"/>
        <s v="Equity / Inclusion"/>
        <s v="Grant / External Funding"/>
        <s v="Collaboration / Networks"/>
        <s v="Preparedness Planning"/>
        <s v="Infrastructure / Risk Perception"/>
        <s v="Preparedness Experience"/>
        <s v="Preparedness / Inclusion"/>
        <s v="CivicPulse-only"/>
        <s v="Administrative / Metadata"/>
        <m/>
      </sharedItems>
    </cacheField>
    <cacheField name="Harmonized_Variable_Name" numFmtId="0">
      <sharedItems containsBlank="1"/>
    </cacheField>
    <cacheField name="ARISE_Question_ID" numFmtId="0">
      <sharedItems containsBlank="1"/>
    </cacheField>
    <cacheField name="ARISE_Variable_Name" numFmtId="0">
      <sharedItems containsBlank="1"/>
    </cacheField>
    <cacheField name="ARISE_Question_Text_Short" numFmtId="0">
      <sharedItems containsBlank="1"/>
    </cacheField>
    <cacheField name="ARISE_Response_Coding" numFmtId="0">
      <sharedItems containsBlank="1"/>
    </cacheField>
    <cacheField name="CivicPulse_Question_Block" numFmtId="0">
      <sharedItems containsBlank="1"/>
    </cacheField>
    <cacheField name="CivicPulse_Variable_Name" numFmtId="0">
      <sharedItems containsBlank="1"/>
    </cacheField>
    <cacheField name="CivicPulse_Question_Text_Short" numFmtId="0">
      <sharedItems containsBlank="1"/>
    </cacheField>
    <cacheField name="CivicPulse_Response_Coding" numFmtId="0">
      <sharedItems containsBlank="1" longText="1"/>
    </cacheField>
    <cacheField name="Match_Type" numFmtId="0">
      <sharedItems containsBlank="1" count="22">
        <s v="Exact"/>
        <s v="Partial (scale mismatch)"/>
        <s v="Partial (granularity mismatch)"/>
        <s v="Weak partial (concept-related; not equivalent)"/>
        <s v="Partial (binary vs yes/no/idk)"/>
        <s v="Exact (labels)"/>
        <s v="Partial (category mismatch)"/>
        <s v="Partial (measurement mismatch)"/>
        <s v="No match (ARISE-only group concept)"/>
        <s v="Partial (population mismatch)"/>
        <s v="Derived (concept-level)"/>
        <s v="Partial (performance vs perception)"/>
        <s v="No match (ARISE-only)"/>
        <s v="Weak partial (proxy / reverse concept)"/>
        <s v="Weak partial (risk concern vs asset condition)"/>
        <s v="Partial (format mismatch)"/>
        <s v="Partial (derived binary)"/>
        <s v="No match (CivicPulse-only)"/>
        <s v="No match / Pending row-level verification"/>
        <s v="Exact (administrative)"/>
        <s v="Partial (CivicPulse-only confirmed in current uploaded data)"/>
        <m/>
      </sharedItems>
    </cacheField>
    <cacheField name="Harmonization_Rule" numFmtId="0">
      <sharedItems containsBlank="1"/>
    </cacheField>
    <cacheField name="Output_Scale" numFmtId="0">
      <sharedItems containsBlank="1"/>
    </cacheField>
    <cacheField name="Missing_Value_Rule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085.387523958336" createdVersion="8" refreshedVersion="8" minRefreshableVersion="3" recordCount="51" xr:uid="{17F01480-BF28-9641-A9B4-BDC1C8358BCC}">
  <cacheSource type="worksheet">
    <worksheetSource ref="A1:P1048576" sheet="crosswalk_Table"/>
  </cacheSource>
  <cacheFields count="16">
    <cacheField name="Concept_Domain" numFmtId="0">
      <sharedItems containsBlank="1"/>
    </cacheField>
    <cacheField name="Harmonized_Variable_Name" numFmtId="0">
      <sharedItems containsBlank="1"/>
    </cacheField>
    <cacheField name="ARISE_Question_ID" numFmtId="0">
      <sharedItems containsBlank="1"/>
    </cacheField>
    <cacheField name="ARISE_Variable_Name" numFmtId="0">
      <sharedItems containsBlank="1"/>
    </cacheField>
    <cacheField name="ARISE_Question_Text_Short" numFmtId="0">
      <sharedItems containsBlank="1"/>
    </cacheField>
    <cacheField name="ARISE_Response_Coding" numFmtId="0">
      <sharedItems containsBlank="1"/>
    </cacheField>
    <cacheField name="CivicPulse_Question_Block" numFmtId="0">
      <sharedItems containsBlank="1"/>
    </cacheField>
    <cacheField name="CivicPulse_Variable_Name" numFmtId="0">
      <sharedItems containsBlank="1"/>
    </cacheField>
    <cacheField name="CivicPulse_Question_Text_Short" numFmtId="0">
      <sharedItems containsBlank="1"/>
    </cacheField>
    <cacheField name="CivicPulse_Response_Coding" numFmtId="0">
      <sharedItems containsBlank="1" longText="1"/>
    </cacheField>
    <cacheField name="Match_Type" numFmtId="0">
      <sharedItems containsBlank="1"/>
    </cacheField>
    <cacheField name="Harmonization_Rule" numFmtId="0">
      <sharedItems containsBlank="1"/>
    </cacheField>
    <cacheField name="Output_Scale" numFmtId="0">
      <sharedItems containsBlank="1"/>
    </cacheField>
    <cacheField name="Missing_Value_Rule" numFmtId="0">
      <sharedItems containsBlank="1"/>
    </cacheField>
    <cacheField name="Notes" numFmtId="0">
      <sharedItems containsBlank="1"/>
    </cacheField>
    <cacheField name="Match_Group" numFmtId="0">
      <sharedItems containsBlank="1" count="6">
        <s v="Exact"/>
        <s v="Partial"/>
        <s v="Weak partial"/>
        <s v="No match"/>
        <s v="Deriv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workforce_challenge_level"/>
    <s v="Q8_challenging_with_workforce"/>
    <s v="Q8_challenging_with_workforce"/>
    <s v="Workforce challenge maintaining sufficient staff (past 5 years)"/>
    <s v="1=Not challenging at all; 2=Slightly; 3=Moderately; 4=Very; 5=Extremely; NA=Did not respond"/>
    <s v="Workforce_SC"/>
    <s v="Workforce_SC"/>
    <s v="Workforce challenge maintaining sufficient staff (past 5 years)"/>
    <s v="Stored as CivicPulse codes: 1=Not challenging at all; 2=Slightly; 3=Moderately; 4=Very; 5=Extremely; 'NA'=missing"/>
    <x v="0"/>
    <s v="Direct label-to-label map to unified 1-5 ordered scale"/>
    <s v="Ordinal (1-5)"/>
    <s v="ARISE NA -&gt; missing; CivicPulse 'NA' -&gt; missing"/>
    <s v="Strong wording alignment"/>
  </r>
  <r>
    <x v="1"/>
    <s v="fiscal_condition_overall"/>
    <s v="Q119_overall.fiscal.condition"/>
    <s v="Q119_overall.fiscal.condition"/>
    <s v="Overall fiscal condition over past 5 years"/>
    <s v="1=Very poor; 2=Poor; 3=Fair; 4=Good; 5=Excellent; NA"/>
    <s v="Condition_SC"/>
    <s v="Condition_SC"/>
    <s v="Overall fiscal condition over past 5 years"/>
    <s v="Stored as CivicPulse codes: 1=Very poor; 2=Poor; 3=Fair; 4=Good; 5=Excellent; 'NA'=missing"/>
    <x v="0"/>
    <s v="Direct label-to-label map to unified 1-5 ordered scale"/>
    <s v="Ordinal (1-5)"/>
    <s v="ARISE NA -&gt; missing; CivicPulse 'NA' -&gt; missing"/>
    <s v="Definition is essentially the same"/>
  </r>
  <r>
    <x v="2"/>
    <s v="infra_finance_spending_gap"/>
    <s v="Q14_1_Spending.behind.needs"/>
    <s v="Q14_1_Spending.behind.needs"/>
    <s v="Spending has not kept pace with infrastructure/community needs"/>
    <s v="1=Strongly agree; 2=Somewhat agree; 4=Somewhat disagree; 5=Strongly disagree; NA"/>
    <s v="Infrastructure_GR"/>
    <s v="Infra_GR_spending"/>
    <s v="Spending has not kept pace with community needs"/>
    <s v="Stored as CivicPulse codes: 1=Strongly agree; 2=Somewhat agree; 3=Neither agree nor disagree; 4=Somewhat disagree; 5=Strongly disagree; 'NA'=missing"/>
    <x v="1"/>
    <s v="ARISE lacks neutral. Recode both to 3-level (Agree / Neutral-or-Unknown / Disagree) or keep source-specific ordinal with source flag"/>
    <s v="Ordinal (3-level or source-specific ordinal)"/>
    <s v="ARISE NA -&gt; missing; CivicPulse 'NA' -&gt; missing"/>
    <s v="Negative wording retained in harmonized name to avoid confusion"/>
  </r>
  <r>
    <x v="2"/>
    <s v="infra_finance_unstable_funding"/>
    <s v="Q14_2_Rely.on.unstable.funding"/>
    <s v="Q14_2_Rely.on.unstable.funding"/>
    <s v="Relies on limited or unstable funding sources"/>
    <s v="1=Strongly agree; 2=Somewhat agree; 4=Somewhat disagree; 5=Strongly disagree; NA"/>
    <s v="Infrastructure_GR"/>
    <s v="Infra_GR_relies"/>
    <s v="Relies on limited unstable funding"/>
    <s v="Stored as CivicPulse codes: 1=Strongly agree; 2=Somewhat agree; 3=Neither agree nor disagree; 4=Somewhat disagree; 5=Strongly disagree; 'NA'=missing"/>
    <x v="1"/>
    <s v="Same harmonization as infra_finance_spending_gap"/>
    <s v="Ordinal"/>
    <s v="ARISE NA -&gt; missing; CivicPulse 'NA' -&gt; missing"/>
    <s v="Very close semantic match"/>
  </r>
  <r>
    <x v="2"/>
    <s v="infra_finance_budget_constraints"/>
    <s v="Q14_3_Constrained.budgets"/>
    <s v="Q14_3_Constrained.budgets"/>
    <s v="Budget constraints make funding allocation difficult"/>
    <s v="1=Strongly agree; 2=Somewhat agree; 4=Somewhat disagree; 5=Strongly disagree; NA"/>
    <s v="Infrastructure_GR"/>
    <s v="Infra_GR_budget"/>
    <s v="Budget constraints force difficult funding decisions"/>
    <s v="Stored as CivicPulse codes: 1=Strongly agree; 2=Somewhat agree; 3=Neither agree nor disagree; 4=Somewhat disagree; 5=Strongly disagree; 'NA'=missing"/>
    <x v="1"/>
    <s v="Same harmonization as infra_finance_spending_gap"/>
    <s v="Ordinal"/>
    <s v="ARISE NA -&gt; missing; CivicPulse 'NA' -&gt; missing"/>
    <s v="Strong wording alignment"/>
  </r>
  <r>
    <x v="3"/>
    <s v="service_early_warning_available"/>
    <s v="Q9_1_Early.warning"/>
    <s v="Q9_1_Early.warning"/>
    <s v="Early warning emergency systems in place"/>
    <s v="1=Selected; 0=Not selected"/>
    <s v="Services_GR"/>
    <s v="Services_GR_early"/>
    <s v="Early warning emergency systems (provider/availability)"/>
    <s v="Stored as CivicPulse provider codes: 1=Municipality; 2=Township; 3=County; 4=Other entity; 5=Not provided; comma-separated combinations possible (e.g. '1,3'); 'NA'=missing"/>
    <x v="2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CivicPulse stores provider detail; ARISE stores availability"/>
  </r>
  <r>
    <x v="3"/>
    <s v="service_backup_electric_available"/>
    <s v="Q9_3_Backup.electric"/>
    <s v="Q9_3_Backup.electric"/>
    <s v="Backup electric supply for critical infrastructure in place"/>
    <s v="1=Selected; 0=Not selected"/>
    <s v="Services_GR"/>
    <s v="Services_GR_backup"/>
    <s v="Backup electric supply for critical infrastructure (provider/availability)"/>
    <s v="Stored as CivicPulse provider codes: 1=Municipality; 2=Township; 3=County; 4=Other entity; 5=Not provided; comma-separated combinations possible; 'NA'=missing"/>
    <x v="2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CivicPulse stores provider detail; ARISE stores availability"/>
  </r>
  <r>
    <x v="3"/>
    <s v="service_evacuation_plan_available"/>
    <s v="Q9_9_Evacuation.route.or.plan"/>
    <s v="Q9_9_Evacuation.route.or.plan"/>
    <s v="Evacuation route or plan in place"/>
    <s v="1=Selected; 0=Not selected"/>
    <s v="Services_GR"/>
    <s v="Services_GR_evac"/>
    <s v="Evacuation plans (provider/availability)"/>
    <s v="Stored as CivicPulse provider codes: 1=Municipality; 2=Township; 3=County; 4=Other entity; 5=Not provided; comma-separated combinations possible; 'NA'=missing"/>
    <x v="2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ARISE says route or plan; CivicPulse says plans"/>
  </r>
  <r>
    <x v="3"/>
    <s v="service_utility_shutoff_assistance_available"/>
    <s v="Q9_17_Financial.assistance.for.low.income.shut.offs"/>
    <s v="Q9_17_Financial.assistance.for.low.income.shut.offs"/>
    <s v="Financial assistance to prevent low-income utility shut-offs"/>
    <s v="1=Selected; 0=Not selected"/>
    <s v="Services_GR"/>
    <s v="Services_GR_financial"/>
    <s v="Financial assistance to prevent utility shut-offs (provider/availability)"/>
    <s v="Stored as CivicPulse provider codes: 1=Municipality; 2=Township; 3=County; 4=Other entity; 5=Not provided; comma-separated combinations possible; 'NA'=missing"/>
    <x v="2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ARISE wording explicitly references low-income residents"/>
  </r>
  <r>
    <x v="3"/>
    <s v="service_heating_cooling_stations_available"/>
    <s v="Q9_18_Heating.or.cooling.stations"/>
    <s v="Q9_18_Heating.or.cooling.stations"/>
    <s v="Heating or cooling stations open to public"/>
    <s v="1=Selected; 0=Not selected"/>
    <s v="Services_GR"/>
    <s v="Services_GR_heating"/>
    <s v="Heating or cooling stations (provider/availability)"/>
    <s v="Stored as CivicPulse provider codes: 1=Municipality; 2=Township; 3=County; 4=Other entity; 5=Not provided; comma-separated combinations possible; 'NA'=missing"/>
    <x v="2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Very strong match"/>
  </r>
  <r>
    <x v="3"/>
    <s v="service_public_tornado_shelter_preparedness"/>
    <s v="Q9_19_Tornado.shelter"/>
    <s v="Q9_19_Tornado.shelter"/>
    <s v="Storm/tornado shelter item (ARISE wording is requirement-oriented)"/>
    <s v="1=Selected; 0=Not selected"/>
    <s v="Services_GR"/>
    <s v="Services_GR_public"/>
    <s v="Public tornado shelters (provider/availability)"/>
    <s v="Stored as CivicPulse provider codes: 1=Municipality; 2=Township; 3=County; 4=Other entity; 5=Not provided; comma-separated combinations possible; 'NA'=missing"/>
    <x v="3"/>
    <s v="Do not pool as identical service. If used derive broader tornado-shelter preparedness concept and keep source flag"/>
    <s v="Source-specific binary or excluded from pooled models"/>
    <s v="ARISE missing Q9 -&gt; missing; CivicPulse 'NA' -&gt; missing; CivicPulse code '5'=Not provided (not missing)"/>
    <s v="Wording is not equivalent"/>
  </r>
  <r>
    <x v="4"/>
    <s v="early_warning_multilingual"/>
    <s v="Q9_2_Early.warning_Lang"/>
    <s v="Q9_2_Early.warning_Lang"/>
    <s v="Early warning systems in multiple languages"/>
    <s v="1=Selected; 0=Not selected"/>
    <s v="Early_SC"/>
    <s v="Early_SC"/>
    <s v="Are early warning systems provided in multiple languages?"/>
    <s v="Stored as CivicPulse codes: 1=Yes; 2=No; 3=I don't know; 'NA'=missing"/>
    <x v="4"/>
    <s v="Map ARISE selected=1/not selected=0; CivicPulse 1=Yes -&gt; 1; 2=No -&gt; 0; 3=I don't know -&gt; missing"/>
    <s v="Binary (0/1)"/>
    <s v="ARISE missing Q9 -&gt; missing; CivicPulse 'NA' or code '3' -&gt; missing"/>
    <s v="Strong content match"/>
  </r>
  <r>
    <x v="4"/>
    <s v="evacuation_support_no_car_households"/>
    <s v="Q9_10_Evacuation.plan"/>
    <s v="Q9_10_Evacuation.plan"/>
    <s v="Evacuation plan includes support for households without cars / vulnerable populations"/>
    <s v="1=Selected; 0=Not selected"/>
    <s v="Evacuation_SC"/>
    <s v="Evacuation_SC"/>
    <s v="Evacuation plans include provisions for households without cars"/>
    <s v="Stored as CivicPulse codes: 1=Yes; 2=No; 3=I don't know; 'NA'=missing"/>
    <x v="4"/>
    <s v="Map ARISE selected=1/not selected=0; CivicPulse 1=Yes -&gt; 1; 2=No -&gt; 0; 3=I don't know -&gt; missing"/>
    <s v="Binary (0/1)"/>
    <s v="ARISE missing Q9 -&gt; missing; CivicPulse 'NA' or code '3' -&gt; missing"/>
    <s v="ARISE wording is broader but concept overlaps"/>
  </r>
  <r>
    <x v="5"/>
    <s v="respondent_tenure_local_gov"/>
    <s v="Q29_work.year"/>
    <s v="Q29_work.year"/>
    <s v="Years worked with local government organization"/>
    <s v="ARISE labels: &lt;1 year; &gt;1 to 5 years; &gt;5 to 10 years; &gt;10 to 15 years; &gt;15 years; NA"/>
    <s v="Tenure_SC"/>
    <s v="Tenure_SC"/>
    <s v="Years worked with local government organization"/>
    <s v="Stored as CivicPulse codes: 1=Less than 1 year; 2=Over 1 year up to 5 years; 3=Over 5 years up to 10 years; 4=Over 10 years up to 15 years; 5=Over 15 years; 'NA'=missing"/>
    <x v="5"/>
    <s v="Harmonize by labels (not ARISE raw codes which are non-consecutive)"/>
    <s v="Ordinal (5 categories)"/>
    <s v="ARISE NA -&gt; missing; CivicPulse 'NA' -&gt; missing"/>
    <s v="Do not use ARISE raw numeric codes directly"/>
  </r>
  <r>
    <x v="5"/>
    <s v="respondent_education_level"/>
    <s v="Q30_education"/>
    <s v="Q30_education"/>
    <s v="Highest education completed"/>
    <s v="ARISE: Less than high school; High school graduate; Some college; 2 year degree; 4 year degree; Graduate degree; NA"/>
    <s v="Education_SC"/>
    <s v="Education_SC"/>
    <s v="Highest education completed"/>
    <s v="Stored as CivicPulse codes: 1=Less than high school; 2=High school graduate; 3=Technical/trade school; 4=Some college; 5=College graduate; 6=Some graduate school; 7=Graduate degree; 'NA'=missing"/>
    <x v="6"/>
    <s v="Map by labels and collapse to common scale: &lt;HS; HS; Some college/tech; 2-4 year degree; Graduate degree"/>
    <s v="Ordinal (collapsed 1-5 recommended)"/>
    <s v="ARISE NA -&gt; missing; CivicPulse 'NA' -&gt; missing"/>
    <s v="CivicPulse has extra categories (trade school and some graduate school)"/>
  </r>
  <r>
    <x v="6"/>
    <s v="equity_group_elderly_support"/>
    <s v="Q10_1_Elderly.people"/>
    <s v="Q10_1_Elderly.people"/>
    <s v="City has taken action to support elderly people"/>
    <s v="1=Selected; 0=Not selected"/>
    <s v="Groups_GR"/>
    <s v="Groups_GR_elderly"/>
    <s v="Confidence can meet needs of elderly people in a disaster"/>
    <s v="Stored as CivicPulse codes: 1=Not at all confident; 2=Slightly confident; 3=Somewhat confident; 4=Confident; 5=Very confident; 6=Not applicable; 'NA'=missing"/>
    <x v="7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Same target group but different measurement"/>
  </r>
  <r>
    <x v="6"/>
    <s v="equity_group_low_income_support"/>
    <s v="Q10_2_Low.income"/>
    <s v="Q10_2_Low.income"/>
    <s v="City has taken action to support low-income residents"/>
    <s v="1=Selected; 0=Not selected"/>
    <s v="Groups_GR"/>
    <s v="Groups_GR_low"/>
    <s v="Confidence can meet needs of low-income households in a disaster"/>
    <s v="Stored as CivicPulse codes: 1=Not at all confident; 2=Slightly confident; 3=Somewhat confident; 4=Confident; 5=Very confident; 6=Not applicable; 'NA'=missing"/>
    <x v="7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Concept aligns well but measure differs"/>
  </r>
  <r>
    <x v="6"/>
    <s v="equity_group_homeless_support"/>
    <s v="Q10_3_Homeless"/>
    <s v="Q10_3_Homeless"/>
    <s v="City has taken action to support homeless people"/>
    <s v="1=Selected; 0=Not selected"/>
    <s v="Groups_GR"/>
    <s v="Groups_GR_homeless"/>
    <s v="Confidence can meet needs of homeless people in a disaster"/>
    <s v="Stored as CivicPulse codes: 1=Not at all confident; 2=Slightly confident; 3=Somewhat confident; 4=Confident; 5=Very confident; 6=Not applicable; 'NA'=missing"/>
    <x v="7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Strong concept match"/>
  </r>
  <r>
    <x v="6"/>
    <s v="equity_group_non_english_support"/>
    <s v="Q10_4_Non.English"/>
    <s v="Q10_4_Non.English"/>
    <s v="City has taken action to support non-English speakers"/>
    <s v="1=Selected; 0=Not selected"/>
    <s v="Groups_GR"/>
    <s v="Groups_GR_non"/>
    <s v="Confidence can meet needs of non-English speakers in a disaster"/>
    <s v="Stored as CivicPulse codes: 1=Not at all confident; 2=Slightly confident; 3=Somewhat confident; 4=Confident; 5=Very confident; 6=Not applicable; 'NA'=missing"/>
    <x v="7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Strong concept match"/>
  </r>
  <r>
    <x v="6"/>
    <s v="equity_group_racial_ethnic_minorities_support"/>
    <s v="Q10_5_Racial.minorities"/>
    <s v="Q10_5_Racial.minorities"/>
    <s v="City has taken action to support racial/ethnic minority residents"/>
    <s v="1=Selected; 0=Not selected"/>
    <s v="Groups_GR"/>
    <s v="None"/>
    <s v="No direct CivicPulse group row found for racial/ethnic minority residents"/>
    <s v="N/A"/>
    <x v="8"/>
    <s v="Keep as ARISE-only; do not harmonize across sources"/>
    <s v="ARISE-only binary (0/1)"/>
    <s v="ARISE missing Q10 -&gt; missing"/>
    <s v="CivicPulse Groups_GR in provided codebook does not include a direct racial/ethnic minority item"/>
  </r>
  <r>
    <x v="6"/>
    <s v="equity_group_disability_support"/>
    <s v="Q10_6_Disabled"/>
    <s v="Q10_6_Disabled"/>
    <s v="City has taken action to support people with disabilities"/>
    <s v="1=Selected; 0=Not selected"/>
    <s v="Groups_GR"/>
    <s v="Groups_GR_people"/>
    <s v="Confidence can meet needs of people with physical disabilities in a disaster"/>
    <s v="Stored as CivicPulse codes: 1=Not at all confident; 2=Slightly confident; 3=Somewhat confident; 4=Confident; 5=Very confident; 6=Not applicable; 'NA'=missing"/>
    <x v="7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Strong concept match"/>
  </r>
  <r>
    <x v="6"/>
    <s v="equity_group_immigrant_refugee_support"/>
    <s v="Q10_9_Immigrants"/>
    <s v="Q10_9_Immigrants"/>
    <s v="City has taken action to support immigrants/refugees"/>
    <s v="1=Selected; 0=Not selected"/>
    <s v="Groups_GR"/>
    <s v="Groups_GR_undoc"/>
    <s v="Confidence can meet needs of undocumented immigrants in a disaster"/>
    <s v="Stored as CivicPulse codes: 1=Not at all confident; 2=Slightly confident; 3=Somewhat confident; 4=Confident; 5=Very confident; 6=Not applicable; 'NA'=missing"/>
    <x v="9"/>
    <s v="Related but narrower CivicPulse population. Keep source flag and avoid strict equivalence in pooled inference"/>
    <s v="Source-specific binary/ordinal or derived concept indicator"/>
    <s v="ARISE missing Q10 -&gt; missing; CivicPulse 'NA' -&gt; missing; CivicPulse code '6'=Not applicable -&gt; missing (recommended)"/>
    <s v="CivicPulse item is undocumented immigrants (narrower)"/>
  </r>
  <r>
    <x v="6"/>
    <s v="equity_actions_count"/>
    <s v="Q10_multi"/>
    <s v="Q10_1/Q10_2/Q10_3/Q10_4/Q10_5/Q10_6/Q10_9"/>
    <s v="Count of vulnerable groups for which city reports taking action"/>
    <s v="Sum selected across listed Q10 items (0-7)"/>
    <s v="Groups_GR"/>
    <s v="Groups_GR_all_rows"/>
    <s v="Summary confidence across vulnerable groups"/>
    <s v="Computed from Groups_GR_elderly, Groups_GR_low, Groups_GR_homeless, Groups_GR_non, Groups_GR_people, Groups_GR_undoc using stored codes 1-5 as confidence; code 6=Not applicable; 'NA'=missing"/>
    <x v="10"/>
    <s v="Create source-specific summary then standardize within source before pooling"/>
    <s v="Derived continuous summary"/>
    <s v="If &gt;50% component items missing then set summary missing; treat CivicPulse code '6' and 'NA' as missing for summary"/>
    <s v="Recommended primary harmonized equity-preparedness construct"/>
  </r>
  <r>
    <x v="7"/>
    <s v="grant_funding_competitiveness"/>
    <s v="Q5_success_grants_secure"/>
    <s v="Q5_success_grants_secure"/>
    <s v="Success obtaining external grants/funding for hazard mitigation or related projects"/>
    <s v="1=Not at all successful; 2=Slightly successful; 3=Moderately successful; 4=Very successful; 6=Did not apply; NA"/>
    <s v="Infrastructure_GR"/>
    <s v="Infra_GR_competes"/>
    <s v="Local government competes effectively for grants and external funds"/>
    <s v="Stored as CivicPulse codes: 1=Strongly agree; 2=Somewhat agree; 3=Neither agree nor disagree; 4=Somewhat disagree; 5=Strongly disagree; 'NA'=missing"/>
    <x v="11"/>
    <s v="Do not directly equate raw scales. Harmonize as concept-level grant capacity indicator and standardize within source if pooling"/>
    <s v="Source-specific ordinal or standardized derived score"/>
    <s v="ARISE code 6 (Did not apply) -&gt; separate category or missing; CivicPulse 'NA' -&gt; missing"/>
    <s v="Strong conceptual match but different framing"/>
  </r>
  <r>
    <x v="7"/>
    <s v="grant_barrier_staff_capacity"/>
    <s v="Q6_1_Lack.of.staff"/>
    <s v="Q6_1_Lack.of.staff"/>
    <s v="Lack of staff is a barrier to securing grants"/>
    <s v="1=Selected; 0=Not selected"/>
    <s v="None"/>
    <s v="None"/>
    <s v="No direct CivicPulse equivalent identified"/>
    <s v="N/A"/>
    <x v="12"/>
    <s v="Keep as ARISE-only grant-barrier variable"/>
    <s v="ARISE-only binary (0/1)"/>
    <s v="ARISE missing Q6 -&gt; missing"/>
    <s v="ARISE-specific grant barrier detail"/>
  </r>
  <r>
    <x v="7"/>
    <s v="grant_barrier_deadlines"/>
    <s v="Q6_2_Quick.deadlines"/>
    <s v="Q6_2_Quick.deadlines"/>
    <s v="Short turnaround / quick deadlines are a grant barrier"/>
    <s v="1=Selected; 0=Not selected"/>
    <s v="None"/>
    <s v="None"/>
    <s v="No direct CivicPulse equivalent identified"/>
    <s v="N/A"/>
    <x v="12"/>
    <s v="Keep as ARISE-only grant-barrier variable"/>
    <s v="ARISE-only binary (0/1)"/>
    <s v="ARISE missing Q6 -&gt; missing"/>
    <s v="ARISE-specific grant barrier detail"/>
  </r>
  <r>
    <x v="7"/>
    <s v="grant_barrier_matching_requirements"/>
    <s v="Q6_3_Matching.req.challenges"/>
    <s v="Q6_3_Matching.req.challenges"/>
    <s v="Matching requirements are a grant barrier"/>
    <s v="1=Selected; 0=Not selected"/>
    <s v="None"/>
    <s v="None"/>
    <s v="No direct CivicPulse equivalent identified"/>
    <s v="N/A"/>
    <x v="12"/>
    <s v="Keep as ARISE-only grant-barrier variable"/>
    <s v="ARISE-only binary (0/1)"/>
    <s v="ARISE missing Q6 -&gt; missing"/>
    <s v="ARISE-specific grant barrier detail"/>
  </r>
  <r>
    <x v="7"/>
    <s v="grant_barrier_funding_information"/>
    <s v="Q6_4_Lack.of.fund.info"/>
    <s v="Q6_4_Lack.of.fund.info"/>
    <s v="Lack of information on funding opportunities is a grant barrier"/>
    <s v="1=Selected; 0=Not selected"/>
    <s v="None"/>
    <s v="None"/>
    <s v="No direct CivicPulse equivalent identified"/>
    <s v="N/A"/>
    <x v="12"/>
    <s v="Keep as ARISE-only grant-barrier variable"/>
    <s v="ARISE-only binary (0/1)"/>
    <s v="ARISE missing Q6 -&gt; missing"/>
    <s v="ARISE-specific grant barrier detail"/>
  </r>
  <r>
    <x v="7"/>
    <s v="grant_barrier_goal_disagreement"/>
    <s v="Q6_5_Disagreement.over.goals"/>
    <s v="Q6_5_Disagreement.over.goals"/>
    <s v="Disagreement over goals is a grant barrier"/>
    <s v="1=Selected; 0=Not selected"/>
    <s v="None"/>
    <s v="None"/>
    <s v="No direct CivicPulse equivalent identified"/>
    <s v="N/A"/>
    <x v="12"/>
    <s v="Keep as ARISE-only grant-barrier variable"/>
    <s v="ARISE-only binary (0/1)"/>
    <s v="ARISE missing Q6 -&gt; missing"/>
    <s v="ARISE-specific grant barrier detail"/>
  </r>
  <r>
    <x v="7"/>
    <s v="grant_barrier_capacity"/>
    <s v="Q6_6_Lack.of.capacity"/>
    <s v="Q6_6_Lack.of.capacity"/>
    <s v="Lack of capacity is a grant barrier"/>
    <s v="1=Selected; 0=Not selected"/>
    <s v="None"/>
    <s v="None"/>
    <s v="No direct CivicPulse equivalent identified"/>
    <s v="N/A"/>
    <x v="12"/>
    <s v="Keep as ARISE-only grant-barrier variable"/>
    <s v="ARISE-only binary (0/1)"/>
    <s v="ARISE missing Q6 -&gt; missing"/>
    <s v="ARISE-specific grant barrier detail"/>
  </r>
  <r>
    <x v="7"/>
    <s v="grant_barrier_other"/>
    <s v="Q6_7_Others"/>
    <s v="Q6_7_Others"/>
    <s v="Other grant barrier (specify in text field if present)"/>
    <s v="1=Selected; 0=Not selected"/>
    <s v="None"/>
    <s v="None"/>
    <s v="No direct CivicPulse equivalent identified"/>
    <s v="N/A"/>
    <x v="12"/>
    <s v="Keep as ARISE-only grant-barrier variable"/>
    <s v="ARISE-only binary (0/1)"/>
    <s v="ARISE missing Q6 -&gt; missing"/>
    <s v="ARISE-specific grant barrier detail"/>
  </r>
  <r>
    <x v="7"/>
    <s v="grant_barrier_skip_none_selected"/>
    <s v="Q6_SKIP"/>
    <s v="Q6_SKIP"/>
    <s v="Grant barriers none/skip indicator (derived from none-of-the-above selection)"/>
    <s v="Q6 none-of-the-above selected -&gt; 0/skip indicator"/>
    <s v="None"/>
    <s v="None"/>
    <s v="No CivicPulse equivalent"/>
    <s v="N/A"/>
    <x v="12"/>
    <s v="Use for cleaning/denominator decisions in ARISE"/>
    <s v="ARISE-only skip indicator"/>
    <s v="ARISE missing Q6 -&gt; missing"/>
    <s v="Do not treat as a substantive barrier"/>
  </r>
  <r>
    <x v="8"/>
    <s v="partnership_with_nonprofits_proxy"/>
    <s v="Q12_2_Lack.of.potential.partner"/>
    <s v="Q12_2_Lack.of.potential.partner"/>
    <s v="Lack of potential partners is an obstacle (proxy inverse of partnership capacity)"/>
    <s v="1=No obstacle; 2=Small obstacle; 3=Moderate obstacle; 4=Large obstacle; 5=Very large obstacle; NA"/>
    <s v="Partner_SC"/>
    <s v="Partner_SC"/>
    <s v="In the past five years has your local government collaborated with nonprofit organizations on disaster preparedness or response?"/>
    <s v="Stored as CivicPulse codes: 1=Yes; 2=No; 3=I don't know; 4=Not applicable/no disaster; 'NA'=missing"/>
    <x v="13"/>
    <s v="Reverse-code only for concept-level comparison if needed; otherwise keep source-specific"/>
    <s v="Source-specific proxy ordinal or binary"/>
    <s v="ARISE NA -&gt; missing; CivicPulse 'NA' -&gt; missing; CivicPulse code '4' may be treated as missing for pooled analysis"/>
    <s v="Proxy match only"/>
  </r>
  <r>
    <x v="8"/>
    <s v="agency_coordination_obstacle_proxy"/>
    <s v="Q12_1_Lack.of.support"/>
    <s v="Q12_1_Lack.of.support"/>
    <s v="Lack of support from other actors/agencies is an obstacle"/>
    <s v="1=No obstacle; 2=Small obstacle; 3=Moderate obstacle; 4=Large obstacle; 5=Very large obstacle; NA"/>
    <s v="Agencies_SC"/>
    <s v="Agencies_SC"/>
    <s v="Extent of emergency management involvement in capital planning process"/>
    <s v="Stored as CivicPulse codes: 1=Not involved at all; 2=Minimally involved; 3=Somewhat involved; 4=Highly involved; 5=Don't know; 6=Not applicable; 'NA'=missing"/>
    <x v="13"/>
    <s v="Use only as a proxy with explicit reverse-direction note"/>
    <s v="Source-specific proxy ordinal"/>
    <s v="ARISE NA -&gt; missing; CivicPulse 'NA' -&gt; missing; CivicPulse codes '5'/'6' -&gt; missing (recommended)"/>
    <s v="Proxy row only"/>
  </r>
  <r>
    <x v="9"/>
    <s v="planning_capacity_obstacle_proxy"/>
    <s v="Q12_3_Insufficient.internal.resources"/>
    <s v="Q12_3_Insufficient.internal.resources"/>
    <s v="Insufficient internal resources is an obstacle to collaboration/planning work"/>
    <s v="1=No obstacle; 2=Small obstacle; 3=Moderate obstacle; 4=Large obstacle; 5=Very large obstacle; NA"/>
    <s v="Planning_SC"/>
    <s v="Planning_SC"/>
    <s v="Extent to which hazard mitigation is considered in capital projects/CIP"/>
    <s v="Stored as CivicPulse codes: 1=Not considered at all; 2=Minimally considered; 3=Somewhat considered; 4=Sufficiently considered; 5=Extensively considered; 6=Don't know; 7=Not applicable; 'NA'=missing"/>
    <x v="13"/>
    <s v="Use only as a proxy if no better planning-capacity measure is available"/>
    <s v="Source-specific proxy ordinal"/>
    <s v="ARISE NA -&gt; missing; CivicPulse 'NA' -&gt; missing; CivicPulse codes '6'/'7' -&gt; missing (recommended)"/>
    <s v="Proxy row only"/>
  </r>
  <r>
    <x v="8"/>
    <s v="network_capacity_total_actors"/>
    <s v="T_Num_Total / W_Num_Total / E_Num_Total"/>
    <s v="T_Num_Total; W_Num_Total; E_Num_Total"/>
    <s v="Total number of connected actors across transportation water and electricity systems"/>
    <s v="Each variable ranges 0-15"/>
    <s v="None"/>
    <s v="None"/>
    <s v="No direct CivicPulse network-size equivalent"/>
    <s v="N/A"/>
    <x v="12"/>
    <s v="Retain as ARISE-only network capacity variables"/>
    <s v="ARISE-only numeric"/>
    <s v="ARISE missing -&gt; missing"/>
    <s v="Strong ARISE-only governance/network signal"/>
  </r>
  <r>
    <x v="8"/>
    <s v="network_perceived_impact"/>
    <s v="Q116/Q117/Q118 network impact"/>
    <s v="Q116_Network.important.to.T; Q117_Network.important.to.W; Q118_Network.important.to.E"/>
    <s v="Perceived impact of city network interactions on system resilience"/>
    <s v="1=Strong negative impact; 2=Modest negative impact; 3=No impact; 4=Modest positive impact; 5=Strong positive impact; NA"/>
    <s v="None"/>
    <s v="None"/>
    <s v="No direct CivicPulse equivalent identified"/>
    <s v="N/A"/>
    <x v="12"/>
    <s v="Retain as ARISE-only network outcome variables"/>
    <s v="ARISE-only ordinal"/>
    <s v="ARISE NA -&gt; missing"/>
    <s v="Use in ARISE-only analysis/discussion"/>
  </r>
  <r>
    <x v="9"/>
    <s v="infrastructure_hardening_actions_count"/>
    <s v="Q11_multi"/>
    <s v="Q11_1_Transportation;Q11_2_Electricity;Q11_3_Drinking.water.treatment;Q11_4_Wastewater.treatment;Q11_5_Hospitals;Q11_6_Schools;Q11_7_Cyber..IT"/>
    <s v="Count of infrastructure sectors where city has pursued hardening actions"/>
    <s v="Sum selected across Q11 sector items (0-7)"/>
    <s v="None"/>
    <s v="None"/>
    <s v="No direct row-level CivicPulse equivalent confirmed"/>
    <s v="N/A"/>
    <x v="12"/>
    <s v="Keep as ARISE-only preparedness action index unless later matching variables are identified"/>
    <s v="Categorical count (0-7)"/>
    <s v="ARISE missing Q11 -&gt; missing"/>
    <s v="Useful ARISE-only preparedness measure"/>
  </r>
  <r>
    <x v="10"/>
    <s v="critical_infrastructure_concern_index"/>
    <s v="Q4_multi"/>
    <s v="Q4_concern_electricity;Q4_concern_transportation;Q4_concern_cleanwater;Q4_concern_wastewater"/>
    <s v="Concern about resilience of core infrastructure systems"/>
    <s v="Each Q4 concern item ordered categorical; build summary index if needed"/>
    <s v="Asset_SC"/>
    <s v="Asset_SC"/>
    <s v="Condition of capital assets and infrastructure in jurisdiction"/>
    <s v="Stored as CivicPulse codes: 1=Very poor; 2=Poor; 3=Fair; 4=Good; 5=Excellent; 'NA'=missing"/>
    <x v="14"/>
    <s v="Do not directly pool. If needed compare as adjacent constructs with source flag"/>
    <s v="Source-specific ordinal or derived summary"/>
    <s v="ARISE NA -&gt; missing; CivicPulse 'NA' -&gt; missing"/>
    <s v="This is not a direct equivalence"/>
  </r>
  <r>
    <x v="11"/>
    <s v="hazard_experience_profile"/>
    <s v="Q3_hazard_ranks"/>
    <s v="Q3_1st.Dis; Q3_2nd.Dis; Q3_3rd.Dis"/>
    <s v="Top-ranked hazards that have affected the jurisdiction"/>
    <s v="ARISE hazard codes (ranked selections); NA"/>
    <s v="Disaster_MS"/>
    <s v="Disaster_MS"/>
    <s v="Disaster types experienced (multi-select)"/>
    <s v="Stored as CivicPulse comma-delimited codes. Questionnaire indicates: 1=Loss of life; 2=Significant property damage; 3=Mass displacement of people; 4=Declared State of Emergency; 5=None of the above. Dataset also contains code '6', which should be verified before final harmonization. 'NA'=missing"/>
    <x v="15"/>
    <s v="Harmonize at hazard-family level after mapping ARISE ranked hazard codes to CivicPulse disaster categories"/>
    <s v="Source-specific categorical/multi-binary or derived hazard families"/>
    <s v="Missing module/NA -&gt; missing; verify meaning of CivicPulse code '6' before final pooled coding"/>
    <s v="Verify category mapping before pooled hazard-type analysis"/>
  </r>
  <r>
    <x v="11"/>
    <s v="recent_disaster_any_indicator"/>
    <s v="Q3_hazard_ranks"/>
    <s v="Q3_1st.Dis;Q3_2nd.Dis;Q3_3rd.Dis"/>
    <s v="Indicator that at least one hazard/disaster was reported among top impacts"/>
    <s v="Any non-missing ranked hazard code = 1"/>
    <s v="Disaster_MS"/>
    <s v="Disaster_MS"/>
    <s v="Indicator any disaster type selected"/>
    <s v="Derived from CivicPulse Disaster_MS. Treat any substantive disaster/outcome code as 1; treat 'NA' as missing; verify how code '6' should be handled before final binary construction"/>
    <x v="16"/>
    <s v="Create source-specific any-disaster indicator and verify comparable reference period before pooling"/>
    <s v="Binary (0/1)"/>
    <s v="Missing module/NA -&gt; missing; verify meaning of CivicPulse code '6' before final pooled coding"/>
    <s v="Time window may differ across surveys"/>
  </r>
  <r>
    <x v="12"/>
    <s v="services_accessibility_index"/>
    <s v="Q9_accessibility_multi"/>
    <s v="Q9_2_Early.warning_Lang; Q9_10_Evacuation.plan; Q9_17_Financial.assistance.for.low.income.shut.offs; Q9_18_Heating.or.cooling.stations"/>
    <s v="Accessibility-related supports index"/>
    <s v="Sum of selected ARISE accessibility-related items"/>
    <s v="Services_GR + Early_SC + Evacuation_SC"/>
    <s v="Derived from Services_GR_*/Early_SC/Evacuation_SC"/>
    <s v="Accessibility-related preparedness supports index"/>
    <s v="Derived from recoded binary components: Services_GR_financial, Services_GR_heating, Early_SC, Evacuation_SC; service-grid fields use provider-code logic; 'NA'=missing"/>
    <x v="10"/>
    <s v="Create a harmonized accessibility index using binary recodes of comparable items"/>
    <s v="Derived count or proportion"/>
    <s v="Require at least 50 percent component availability to compute; treat CivicPulse 'NA' as missing"/>
    <s v="Good composite for final visuals"/>
  </r>
  <r>
    <x v="13"/>
    <s v="groups_children_capacity"/>
    <s v="None"/>
    <s v="None"/>
    <s v="No direct ARISE equivalent for confidence meeting needs of children"/>
    <s v="N/A"/>
    <s v="Groups_GR"/>
    <s v="Groups_GR_children"/>
    <s v="Confidence can meet needs of children in a disaster"/>
    <s v="Stored as CivicPulse codes: 1=Not at all confident; 2=Slightly confident; 3=Somewhat confident; 4=Confident; 5=Very confident; 6=Not applicable; 'NA'=missing"/>
    <x v="17"/>
    <s v="Retain as CivicPulse-only or include in CivicPulse-only summaries"/>
    <s v="CivicPulse-only ordinal"/>
    <s v="CivicPulse 'NA' -&gt; missing; CivicPulse code '6'=Not applicable -&gt; missing (recommended)"/>
    <s v="Documented unmatched CivicPulse content"/>
  </r>
  <r>
    <x v="13"/>
    <s v="asset_condition_capacity_block"/>
    <s v="None"/>
    <s v="None"/>
    <s v="No confirmed ARISE equivalent for CivicPulse asset-condition block"/>
    <s v="N/A"/>
    <s v="Asset_SC"/>
    <s v="Asset_SC"/>
    <s v="Condition of capital assets and infrastructure"/>
    <s v="Stored as CivicPulse codes: 1=Very poor; 2=Poor; 3=Fair; 4=Good; 5=Excellent; 'NA'=missing"/>
    <x v="17"/>
    <s v="Retain unless a direct ARISE equivalent is later identified"/>
    <s v="CivicPulse-only"/>
    <s v="CivicPulse 'NA' -&gt; missing"/>
    <s v="Do not force-match"/>
  </r>
  <r>
    <x v="13"/>
    <s v="agencies_capacity_block"/>
    <s v="None"/>
    <s v="None"/>
    <s v="No confirmed ARISE equivalent for CivicPulse agencies block"/>
    <s v="N/A"/>
    <s v="Agencies_SC"/>
    <s v="Agencies_SC"/>
    <s v="Extent of emergency management involvement in capital planning process"/>
    <s v="Stored as CivicPulse codes: 1=Not involved at all; 2=Minimally involved; 3=Somewhat involved; 4=Highly involved; 5=Don't know; 6=Not applicable; 'NA'=missing"/>
    <x v="18"/>
    <s v="Retain until a direct row-level ARISE alignment is verified"/>
    <s v="CivicPulse-only"/>
    <s v="CivicPulse 'NA' -&gt; missing; CivicPulse codes '5'/'6' -&gt; missing (recommended for pooled analysis)"/>
    <s v="Block-level placeholder for unmatched content"/>
  </r>
  <r>
    <x v="13"/>
    <s v="planning_capacity_block"/>
    <s v="None"/>
    <s v="None"/>
    <s v="No confirmed ARISE equivalent for CivicPulse planning block"/>
    <s v="N/A"/>
    <s v="Planning_SC"/>
    <s v="Planning_SC"/>
    <s v="Extent to which hazard mitigation is considered in capital projects/CIP"/>
    <s v="Stored as CivicPulse codes: 1=Not considered at all; 2=Minimally considered; 3=Somewhat considered; 4=Sufficiently considered; 5=Extensively considered; 6=Don't know; 7=Not applicable; 'NA'=missing"/>
    <x v="18"/>
    <s v="Retain until a direct ARISE alignment is verified"/>
    <s v="CivicPulse-only"/>
    <s v="CivicPulse 'NA' -&gt; missing; CivicPulse codes '6'/'7' -&gt; missing (recommended for pooled analysis)"/>
    <s v="Block-level placeholder for unmatched content"/>
  </r>
  <r>
    <x v="14"/>
    <s v="source_survey"/>
    <s v="N/A"/>
    <s v="source"/>
    <s v="Survey source identifier"/>
    <s v="ARISE or CivicPulse"/>
    <s v="N/A"/>
    <s v="source"/>
    <s v="Survey source identifier"/>
    <s v="ARISE or CivicPulse"/>
    <x v="19"/>
    <s v="Create manually in combined dataset"/>
    <s v="Nominal"/>
    <s v="No missing allowed"/>
    <s v="Required for pooled analyses"/>
  </r>
  <r>
    <x v="14"/>
    <s v="respondent_or_case_id"/>
    <s v="ResponseId"/>
    <s v="ResponseId"/>
    <s v="Unique ARISE response identifier"/>
    <s v="String/numeric ID"/>
    <s v="Administrative"/>
    <s v="Respondentid"/>
    <s v="Unique CivicPulse response identifier"/>
    <s v="String/numeric ID"/>
    <x v="19"/>
    <s v="Create combined unique ID = source + '_' + nativeID"/>
    <s v="String ID"/>
    <s v="If native ID missing create fallback row index"/>
    <s v="Use source-native IDs"/>
  </r>
  <r>
    <x v="14"/>
    <s v="jurisdiction_name"/>
    <s v="None"/>
    <s v="None"/>
    <s v="No confirmed jurisdiction-name field in current uploaded ARISE general dataset"/>
    <s v="N/A"/>
    <s v="Administrative"/>
    <s v="govname"/>
    <s v="Local government / jurisdiction name"/>
    <s v="Stored as text (e.g. city/county government name)"/>
    <x v="20"/>
    <s v="Keep CivicPulse govname; add ARISE jurisdiction field later only if a version containing it is provided"/>
    <s v="Text"/>
    <s v="Blank -&gt; missing"/>
    <s v="Do not invent an ARISE field for the current uploaded general dataset"/>
  </r>
  <r>
    <x v="14"/>
    <s v="jurisdiction_type"/>
    <s v="None"/>
    <s v="None"/>
    <s v="No confirmed ARISE government-type field in current uploaded ARISE general dataset"/>
    <s v="N/A"/>
    <s v="Administrative"/>
    <s v="Govtype"/>
    <s v="CivicPulse government type"/>
    <s v="Stored as text categories such as Municipality; County; Water Special District; Housing Special District"/>
    <x v="20"/>
    <s v="Keep CivicPulse Govtype; add ARISE government type later only if a version containing it is provided"/>
    <s v="Nominal categorical"/>
    <s v="Blank -&gt; missing"/>
    <s v="Avoid placeholder ARISE field names"/>
  </r>
  <r>
    <x v="15"/>
    <m/>
    <m/>
    <m/>
    <m/>
    <m/>
    <m/>
    <m/>
    <m/>
    <m/>
    <x v="21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Workforce Capacity"/>
    <s v="workforce_challenge_level"/>
    <s v="Q8_challenging_with_workforce"/>
    <s v="Q8_challenging_with_workforce"/>
    <s v="Workforce challenge maintaining sufficient staff (past 5 years)"/>
    <s v="1=Not challenging at all; 2=Slightly; 3=Moderately; 4=Very; 5=Extremely; NA=Did not respond"/>
    <s v="Workforce_SC"/>
    <s v="Workforce_SC"/>
    <s v="Workforce challenge maintaining sufficient staff (past 5 years)"/>
    <s v="Stored as CivicPulse codes: 1=Not challenging at all; 2=Slightly; 3=Moderately; 4=Very; 5=Extremely; 'NA'=missing"/>
    <s v="Exact"/>
    <s v="Direct label-to-label map to unified 1-5 ordered scale"/>
    <s v="Ordinal (1-5)"/>
    <s v="ARISE NA -&gt; missing; CivicPulse 'NA' -&gt; missing"/>
    <s v="Strong wording alignment"/>
    <x v="0"/>
  </r>
  <r>
    <s v="Fiscal Condition"/>
    <s v="fiscal_condition_overall"/>
    <s v="Q119_overall.fiscal.condition"/>
    <s v="Q119_overall.fiscal.condition"/>
    <s v="Overall fiscal condition over past 5 years"/>
    <s v="1=Very poor; 2=Poor; 3=Fair; 4=Good; 5=Excellent; NA"/>
    <s v="Condition_SC"/>
    <s v="Condition_SC"/>
    <s v="Overall fiscal condition over past 5 years"/>
    <s v="Stored as CivicPulse codes: 1=Very poor; 2=Poor; 3=Fair; 4=Good; 5=Excellent; 'NA'=missing"/>
    <s v="Exact"/>
    <s v="Direct label-to-label map to unified 1-5 ordered scale"/>
    <s v="Ordinal (1-5)"/>
    <s v="ARISE NA -&gt; missing; CivicPulse 'NA' -&gt; missing"/>
    <s v="Definition is essentially the same"/>
    <x v="0"/>
  </r>
  <r>
    <s v="Infrastructure Finance"/>
    <s v="infra_finance_spending_gap"/>
    <s v="Q14_1_Spending.behind.needs"/>
    <s v="Q14_1_Spending.behind.needs"/>
    <s v="Spending has not kept pace with infrastructure/community needs"/>
    <s v="1=Strongly agree; 2=Somewhat agree; 4=Somewhat disagree; 5=Strongly disagree; NA"/>
    <s v="Infrastructure_GR"/>
    <s v="Infra_GR_spending"/>
    <s v="Spending has not kept pace with community needs"/>
    <s v="Stored as CivicPulse codes: 1=Strongly agree; 2=Somewhat agree; 3=Neither agree nor disagree; 4=Somewhat disagree; 5=Strongly disagree; 'NA'=missing"/>
    <s v="Partial (scale mismatch)"/>
    <s v="ARISE lacks neutral. Recode both to 3-level (Agree / Neutral-or-Unknown / Disagree) or keep source-specific ordinal with source flag"/>
    <s v="Ordinal (3-level or source-specific ordinal)"/>
    <s v="ARISE NA -&gt; missing; CivicPulse 'NA' -&gt; missing"/>
    <s v="Negative wording retained in harmonized name to avoid confusion"/>
    <x v="1"/>
  </r>
  <r>
    <s v="Infrastructure Finance"/>
    <s v="infra_finance_unstable_funding"/>
    <s v="Q14_2_Rely.on.unstable.funding"/>
    <s v="Q14_2_Rely.on.unstable.funding"/>
    <s v="Relies on limited or unstable funding sources"/>
    <s v="1=Strongly agree; 2=Somewhat agree; 4=Somewhat disagree; 5=Strongly disagree; NA"/>
    <s v="Infrastructure_GR"/>
    <s v="Infra_GR_relies"/>
    <s v="Relies on limited unstable funding"/>
    <s v="Stored as CivicPulse codes: 1=Strongly agree; 2=Somewhat agree; 3=Neither agree nor disagree; 4=Somewhat disagree; 5=Strongly disagree; 'NA'=missing"/>
    <s v="Partial (scale mismatch)"/>
    <s v="Same harmonization as infra_finance_spending_gap"/>
    <s v="Ordinal"/>
    <s v="ARISE NA -&gt; missing; CivicPulse 'NA' -&gt; missing"/>
    <s v="Very close semantic match"/>
    <x v="1"/>
  </r>
  <r>
    <s v="Infrastructure Finance"/>
    <s v="infra_finance_budget_constraints"/>
    <s v="Q14_3_Constrained.budgets"/>
    <s v="Q14_3_Constrained.budgets"/>
    <s v="Budget constraints make funding allocation difficult"/>
    <s v="1=Strongly agree; 2=Somewhat agree; 4=Somewhat disagree; 5=Strongly disagree; NA"/>
    <s v="Infrastructure_GR"/>
    <s v="Infra_GR_budget"/>
    <s v="Budget constraints force difficult funding decisions"/>
    <s v="Stored as CivicPulse codes: 1=Strongly agree; 2=Somewhat agree; 3=Neither agree nor disagree; 4=Somewhat disagree; 5=Strongly disagree; 'NA'=missing"/>
    <s v="Partial (scale mismatch)"/>
    <s v="Same harmonization as infra_finance_spending_gap"/>
    <s v="Ordinal"/>
    <s v="ARISE NA -&gt; missing; CivicPulse 'NA' -&gt; missing"/>
    <s v="Strong wording alignment"/>
    <x v="1"/>
  </r>
  <r>
    <s v="Disaster Services Availability"/>
    <s v="service_early_warning_available"/>
    <s v="Q9_1_Early.warning"/>
    <s v="Q9_1_Early.warning"/>
    <s v="Early warning emergency systems in place"/>
    <s v="1=Selected; 0=Not selected"/>
    <s v="Services_GR"/>
    <s v="Services_GR_early"/>
    <s v="Early warning emergency systems (provider/availability)"/>
    <s v="Stored as CivicPulse provider codes: 1=Municipality; 2=Township; 3=County; 4=Other entity; 5=Not provided; comma-separated combinations possible (e.g. '1,3'); 'NA'=missing"/>
    <s v="Partial (granularity mismatch)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CivicPulse stores provider detail; ARISE stores availability"/>
    <x v="1"/>
  </r>
  <r>
    <s v="Disaster Services Availability"/>
    <s v="service_backup_electric_available"/>
    <s v="Q9_3_Backup.electric"/>
    <s v="Q9_3_Backup.electric"/>
    <s v="Backup electric supply for critical infrastructure in place"/>
    <s v="1=Selected; 0=Not selected"/>
    <s v="Services_GR"/>
    <s v="Services_GR_backup"/>
    <s v="Backup electric supply for critical infrastructure (provider/availability)"/>
    <s v="Stored as CivicPulse provider codes: 1=Municipality; 2=Township; 3=County; 4=Other entity; 5=Not provided; comma-separated combinations possible; 'NA'=missing"/>
    <s v="Partial (granularity mismatch)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CivicPulse stores provider detail; ARISE stores availability"/>
    <x v="1"/>
  </r>
  <r>
    <s v="Disaster Services Availability"/>
    <s v="service_evacuation_plan_available"/>
    <s v="Q9_9_Evacuation.route.or.plan"/>
    <s v="Q9_9_Evacuation.route.or.plan"/>
    <s v="Evacuation route or plan in place"/>
    <s v="1=Selected; 0=Not selected"/>
    <s v="Services_GR"/>
    <s v="Services_GR_evac"/>
    <s v="Evacuation plans (provider/availability)"/>
    <s v="Stored as CivicPulse provider codes: 1=Municipality; 2=Township; 3=County; 4=Other entity; 5=Not provided; comma-separated combinations possible; 'NA'=missing"/>
    <s v="Partial (granularity mismatch)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ARISE says route or plan; CivicPulse says plans"/>
    <x v="1"/>
  </r>
  <r>
    <s v="Disaster Services Availability"/>
    <s v="service_utility_shutoff_assistance_available"/>
    <s v="Q9_17_Financial.assistance.for.low.income.shut.offs"/>
    <s v="Q9_17_Financial.assistance.for.low.income.shut.offs"/>
    <s v="Financial assistance to prevent low-income utility shut-offs"/>
    <s v="1=Selected; 0=Not selected"/>
    <s v="Services_GR"/>
    <s v="Services_GR_financial"/>
    <s v="Financial assistance to prevent utility shut-offs (provider/availability)"/>
    <s v="Stored as CivicPulse provider codes: 1=Municipality; 2=Township; 3=County; 4=Other entity; 5=Not provided; comma-separated combinations possible; 'NA'=missing"/>
    <s v="Partial (granularity mismatch)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ARISE wording explicitly references low-income residents"/>
    <x v="1"/>
  </r>
  <r>
    <s v="Disaster Services Availability"/>
    <s v="service_heating_cooling_stations_available"/>
    <s v="Q9_18_Heating.or.cooling.stations"/>
    <s v="Q9_18_Heating.or.cooling.stations"/>
    <s v="Heating or cooling stations open to public"/>
    <s v="1=Selected; 0=Not selected"/>
    <s v="Services_GR"/>
    <s v="Services_GR_heating"/>
    <s v="Heating or cooling stations (provider/availability)"/>
    <s v="Stored as CivicPulse provider codes: 1=Municipality; 2=Township; 3=County; 4=Other entity; 5=Not provided; comma-separated combinations possible; 'NA'=missing"/>
    <s v="Partial (granularity mismatch)"/>
    <s v="Recode CivicPulse to binary availability: if value contains 1/2/3/4 then 1; if value='5' then 0; if value='NA' then missing. Align ARISE selected=1 / not selected=0"/>
    <s v="Binary (0/1)"/>
    <s v="ARISE missing Q9 -&gt; missing; CivicPulse 'NA' -&gt; missing; CivicPulse code '5'=Not provided (not missing)"/>
    <s v="Very strong match"/>
    <x v="1"/>
  </r>
  <r>
    <s v="Disaster Services Availability"/>
    <s v="service_public_tornado_shelter_preparedness"/>
    <s v="Q9_19_Tornado.shelter"/>
    <s v="Q9_19_Tornado.shelter"/>
    <s v="Storm/tornado shelter item (ARISE wording is requirement-oriented)"/>
    <s v="1=Selected; 0=Not selected"/>
    <s v="Services_GR"/>
    <s v="Services_GR_public"/>
    <s v="Public tornado shelters (provider/availability)"/>
    <s v="Stored as CivicPulse provider codes: 1=Municipality; 2=Township; 3=County; 4=Other entity; 5=Not provided; comma-separated combinations possible; 'NA'=missing"/>
    <s v="Weak partial (concept-related; not equivalent)"/>
    <s v="Do not pool as identical service. If used derive broader tornado-shelter preparedness concept and keep source flag"/>
    <s v="Source-specific binary or excluded from pooled models"/>
    <s v="ARISE missing Q9 -&gt; missing; CivicPulse 'NA' -&gt; missing; CivicPulse code '5'=Not provided (not missing)"/>
    <s v="Wording is not equivalent"/>
    <x v="2"/>
  </r>
  <r>
    <s v="Accessibility / Inclusion"/>
    <s v="early_warning_multilingual"/>
    <s v="Q9_2_Early.warning_Lang"/>
    <s v="Q9_2_Early.warning_Lang"/>
    <s v="Early warning systems in multiple languages"/>
    <s v="1=Selected; 0=Not selected"/>
    <s v="Early_SC"/>
    <s v="Early_SC"/>
    <s v="Are early warning systems provided in multiple languages?"/>
    <s v="Stored as CivicPulse codes: 1=Yes; 2=No; 3=I don't know; 'NA'=missing"/>
    <s v="Partial (binary vs yes/no/idk)"/>
    <s v="Map ARISE selected=1/not selected=0; CivicPulse 1=Yes -&gt; 1; 2=No -&gt; 0; 3=I don't know -&gt; missing"/>
    <s v="Binary (0/1)"/>
    <s v="ARISE missing Q9 -&gt; missing; CivicPulse 'NA' or code '3' -&gt; missing"/>
    <s v="Strong content match"/>
    <x v="1"/>
  </r>
  <r>
    <s v="Accessibility / Inclusion"/>
    <s v="evacuation_support_no_car_households"/>
    <s v="Q9_10_Evacuation.plan"/>
    <s v="Q9_10_Evacuation.plan"/>
    <s v="Evacuation plan includes support for households without cars / vulnerable populations"/>
    <s v="1=Selected; 0=Not selected"/>
    <s v="Evacuation_SC"/>
    <s v="Evacuation_SC"/>
    <s v="Evacuation plans include provisions for households without cars"/>
    <s v="Stored as CivicPulse codes: 1=Yes; 2=No; 3=I don't know; 'NA'=missing"/>
    <s v="Partial (binary vs yes/no/idk)"/>
    <s v="Map ARISE selected=1/not selected=0; CivicPulse 1=Yes -&gt; 1; 2=No -&gt; 0; 3=I don't know -&gt; missing"/>
    <s v="Binary (0/1)"/>
    <s v="ARISE missing Q9 -&gt; missing; CivicPulse 'NA' or code '3' -&gt; missing"/>
    <s v="ARISE wording is broader but concept overlaps"/>
    <x v="1"/>
  </r>
  <r>
    <s v="Respondent Demographics"/>
    <s v="respondent_tenure_local_gov"/>
    <s v="Q29_work.year"/>
    <s v="Q29_work.year"/>
    <s v="Years worked with local government organization"/>
    <s v="ARISE labels: &lt;1 year; &gt;1 to 5 years; &gt;5 to 10 years; &gt;10 to 15 years; &gt;15 years; NA"/>
    <s v="Tenure_SC"/>
    <s v="Tenure_SC"/>
    <s v="Years worked with local government organization"/>
    <s v="Stored as CivicPulse codes: 1=Less than 1 year; 2=Over 1 year up to 5 years; 3=Over 5 years up to 10 years; 4=Over 10 years up to 15 years; 5=Over 15 years; 'NA'=missing"/>
    <s v="Exact (labels)"/>
    <s v="Harmonize by labels (not ARISE raw codes which are non-consecutive)"/>
    <s v="Ordinal (5 categories)"/>
    <s v="ARISE NA -&gt; missing; CivicPulse 'NA' -&gt; missing"/>
    <s v="Do not use ARISE raw numeric codes directly"/>
    <x v="0"/>
  </r>
  <r>
    <s v="Respondent Demographics"/>
    <s v="respondent_education_level"/>
    <s v="Q30_education"/>
    <s v="Q30_education"/>
    <s v="Highest education completed"/>
    <s v="ARISE: Less than high school; High school graduate; Some college; 2 year degree; 4 year degree; Graduate degree; NA"/>
    <s v="Education_SC"/>
    <s v="Education_SC"/>
    <s v="Highest education completed"/>
    <s v="Stored as CivicPulse codes: 1=Less than high school; 2=High school graduate; 3=Technical/trade school; 4=Some college; 5=College graduate; 6=Some graduate school; 7=Graduate degree; 'NA'=missing"/>
    <s v="Partial (category mismatch)"/>
    <s v="Map by labels and collapse to common scale: &lt;HS; HS; Some college/tech; 2-4 year degree; Graduate degree"/>
    <s v="Ordinal (collapsed 1-5 recommended)"/>
    <s v="ARISE NA -&gt; missing; CivicPulse 'NA' -&gt; missing"/>
    <s v="CivicPulse has extra categories (trade school and some graduate school)"/>
    <x v="1"/>
  </r>
  <r>
    <s v="Equity / Inclusion"/>
    <s v="equity_group_elderly_support"/>
    <s v="Q10_1_Elderly.people"/>
    <s v="Q10_1_Elderly.people"/>
    <s v="City has taken action to support elderly people"/>
    <s v="1=Selected; 0=Not selected"/>
    <s v="Groups_GR"/>
    <s v="Groups_GR_elderly"/>
    <s v="Confidence can meet needs of elderly people in a disaster"/>
    <s v="Stored as CivicPulse codes: 1=Not at all confident; 2=Slightly confident; 3=Somewhat confident; 4=Confident; 5=Very confident; 6=Not applicable; 'NA'=missing"/>
    <s v="Partial (measurement mismatch)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Same target group but different measurement"/>
    <x v="1"/>
  </r>
  <r>
    <s v="Equity / Inclusion"/>
    <s v="equity_group_low_income_support"/>
    <s v="Q10_2_Low.income"/>
    <s v="Q10_2_Low.income"/>
    <s v="City has taken action to support low-income residents"/>
    <s v="1=Selected; 0=Not selected"/>
    <s v="Groups_GR"/>
    <s v="Groups_GR_low"/>
    <s v="Confidence can meet needs of low-income households in a disaster"/>
    <s v="Stored as CivicPulse codes: 1=Not at all confident; 2=Slightly confident; 3=Somewhat confident; 4=Confident; 5=Very confident; 6=Not applicable; 'NA'=missing"/>
    <s v="Partial (measurement mismatch)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Concept aligns well but measure differs"/>
    <x v="1"/>
  </r>
  <r>
    <s v="Equity / Inclusion"/>
    <s v="equity_group_homeless_support"/>
    <s v="Q10_3_Homeless"/>
    <s v="Q10_3_Homeless"/>
    <s v="City has taken action to support homeless people"/>
    <s v="1=Selected; 0=Not selected"/>
    <s v="Groups_GR"/>
    <s v="Groups_GR_homeless"/>
    <s v="Confidence can meet needs of homeless people in a disaster"/>
    <s v="Stored as CivicPulse codes: 1=Not at all confident; 2=Slightly confident; 3=Somewhat confident; 4=Confident; 5=Very confident; 6=Not applicable; 'NA'=missing"/>
    <s v="Partial (measurement mismatch)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Strong concept match"/>
    <x v="1"/>
  </r>
  <r>
    <s v="Equity / Inclusion"/>
    <s v="equity_group_non_english_support"/>
    <s v="Q10_4_Non.English"/>
    <s v="Q10_4_Non.English"/>
    <s v="City has taken action to support non-English speakers"/>
    <s v="1=Selected; 0=Not selected"/>
    <s v="Groups_GR"/>
    <s v="Groups_GR_non"/>
    <s v="Confidence can meet needs of non-English speakers in a disaster"/>
    <s v="Stored as CivicPulse codes: 1=Not at all confident; 2=Slightly confident; 3=Somewhat confident; 4=Confident; 5=Very confident; 6=Not applicable; 'NA'=missing"/>
    <s v="Partial (measurement mismatch)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Strong concept match"/>
    <x v="1"/>
  </r>
  <r>
    <s v="Equity / Inclusion"/>
    <s v="equity_group_racial_ethnic_minorities_support"/>
    <s v="Q10_5_Racial.minorities"/>
    <s v="Q10_5_Racial.minorities"/>
    <s v="City has taken action to support racial/ethnic minority residents"/>
    <s v="1=Selected; 0=Not selected"/>
    <s v="Groups_GR"/>
    <s v="None"/>
    <s v="No direct CivicPulse group row found for racial/ethnic minority residents"/>
    <s v="N/A"/>
    <s v="No match (ARISE-only group concept)"/>
    <s v="Keep as ARISE-only; do not harmonize across sources"/>
    <s v="ARISE-only binary (0/1)"/>
    <s v="ARISE missing Q10 -&gt; missing"/>
    <s v="CivicPulse Groups_GR in provided codebook does not include a direct racial/ethnic minority item"/>
    <x v="3"/>
  </r>
  <r>
    <s v="Equity / Inclusion"/>
    <s v="equity_group_disability_support"/>
    <s v="Q10_6_Disabled"/>
    <s v="Q10_6_Disabled"/>
    <s v="City has taken action to support people with disabilities"/>
    <s v="1=Selected; 0=Not selected"/>
    <s v="Groups_GR"/>
    <s v="Groups_GR_people"/>
    <s v="Confidence can meet needs of people with physical disabilities in a disaster"/>
    <s v="Stored as CivicPulse codes: 1=Not at all confident; 2=Slightly confident; 3=Somewhat confident; 4=Confident; 5=Very confident; 6=Not applicable; 'NA'=missing"/>
    <s v="Partial (measurement mismatch)"/>
    <s v="Do not directly pool raw values. ARISE is action-taken (binary); CivicPulse is confidence (ordinal). Use source-specific values or derived concept indicator with source flag"/>
    <s v="Source-specific binary/ordinal or derived concept indicator"/>
    <s v="ARISE missing Q10 -&gt; missing; CivicPulse 'NA' -&gt; missing; CivicPulse code '6'=Not applicable -&gt; missing (recommended)"/>
    <s v="Strong concept match"/>
    <x v="1"/>
  </r>
  <r>
    <s v="Equity / Inclusion"/>
    <s v="equity_group_immigrant_refugee_support"/>
    <s v="Q10_9_Immigrants"/>
    <s v="Q10_9_Immigrants"/>
    <s v="City has taken action to support immigrants/refugees"/>
    <s v="1=Selected; 0=Not selected"/>
    <s v="Groups_GR"/>
    <s v="Groups_GR_undoc"/>
    <s v="Confidence can meet needs of undocumented immigrants in a disaster"/>
    <s v="Stored as CivicPulse codes: 1=Not at all confident; 2=Slightly confident; 3=Somewhat confident; 4=Confident; 5=Very confident; 6=Not applicable; 'NA'=missing"/>
    <s v="Partial (population mismatch)"/>
    <s v="Related but narrower CivicPulse population. Keep source flag and avoid strict equivalence in pooled inference"/>
    <s v="Source-specific binary/ordinal or derived concept indicator"/>
    <s v="ARISE missing Q10 -&gt; missing; CivicPulse 'NA' -&gt; missing; CivicPulse code '6'=Not applicable -&gt; missing (recommended)"/>
    <s v="CivicPulse item is undocumented immigrants (narrower)"/>
    <x v="1"/>
  </r>
  <r>
    <s v="Equity / Inclusion"/>
    <s v="equity_actions_count"/>
    <s v="Q10_multi"/>
    <s v="Q10_1/Q10_2/Q10_3/Q10_4/Q10_5/Q10_6/Q10_9"/>
    <s v="Count of vulnerable groups for which city reports taking action"/>
    <s v="Sum selected across listed Q10 items (0-7)"/>
    <s v="Groups_GR"/>
    <s v="Groups_GR_all_rows"/>
    <s v="Summary confidence across vulnerable groups"/>
    <s v="Computed from Groups_GR_elderly, Groups_GR_low, Groups_GR_homeless, Groups_GR_non, Groups_GR_people, Groups_GR_undoc using stored codes 1-5 as confidence; code 6=Not applicable; 'NA'=missing"/>
    <s v="Derived (concept-level)"/>
    <s v="Create source-specific summary then standardize within source before pooling"/>
    <s v="Derived continuous summary"/>
    <s v="If &gt;50% component items missing then set summary missing; treat CivicPulse code '6' and 'NA' as missing for summary"/>
    <s v="Recommended primary harmonized equity-preparedness construct"/>
    <x v="4"/>
  </r>
  <r>
    <s v="Grant / External Funding"/>
    <s v="grant_funding_competitiveness"/>
    <s v="Q5_success_grants_secure"/>
    <s v="Q5_success_grants_secure"/>
    <s v="Success obtaining external grants/funding for hazard mitigation or related projects"/>
    <s v="1=Not at all successful; 2=Slightly successful; 3=Moderately successful; 4=Very successful; 6=Did not apply; NA"/>
    <s v="Infrastructure_GR"/>
    <s v="Infra_GR_competes"/>
    <s v="Local government competes effectively for grants and external funds"/>
    <s v="Stored as CivicPulse codes: 1=Strongly agree; 2=Somewhat agree; 3=Neither agree nor disagree; 4=Somewhat disagree; 5=Strongly disagree; 'NA'=missing"/>
    <s v="Partial (performance vs perception)"/>
    <s v="Do not directly equate raw scales. Harmonize as concept-level grant capacity indicator and standardize within source if pooling"/>
    <s v="Source-specific ordinal or standardized derived score"/>
    <s v="ARISE code 6 (Did not apply) -&gt; separate category or missing; CivicPulse 'NA' -&gt; missing"/>
    <s v="Strong conceptual match but different framing"/>
    <x v="1"/>
  </r>
  <r>
    <s v="Grant / External Funding"/>
    <s v="grant_barrier_staff_capacity"/>
    <s v="Q6_1_Lack.of.staff"/>
    <s v="Q6_1_Lack.of.staff"/>
    <s v="Lack of staff is a barrier to securing grants"/>
    <s v="1=Selected; 0=Not selected"/>
    <s v="None"/>
    <s v="None"/>
    <s v="No direct CivicPulse equivalent identified"/>
    <s v="N/A"/>
    <s v="No match (ARISE-only)"/>
    <s v="Keep as ARISE-only grant-barrier variable"/>
    <s v="ARISE-only binary (0/1)"/>
    <s v="ARISE missing Q6 -&gt; missing"/>
    <s v="ARISE-specific grant barrier detail"/>
    <x v="3"/>
  </r>
  <r>
    <s v="Grant / External Funding"/>
    <s v="grant_barrier_deadlines"/>
    <s v="Q6_2_Quick.deadlines"/>
    <s v="Q6_2_Quick.deadlines"/>
    <s v="Short turnaround / quick deadlines are a grant barrier"/>
    <s v="1=Selected; 0=Not selected"/>
    <s v="None"/>
    <s v="None"/>
    <s v="No direct CivicPulse equivalent identified"/>
    <s v="N/A"/>
    <s v="No match (ARISE-only)"/>
    <s v="Keep as ARISE-only grant-barrier variable"/>
    <s v="ARISE-only binary (0/1)"/>
    <s v="ARISE missing Q6 -&gt; missing"/>
    <s v="ARISE-specific grant barrier detail"/>
    <x v="3"/>
  </r>
  <r>
    <s v="Grant / External Funding"/>
    <s v="grant_barrier_matching_requirements"/>
    <s v="Q6_3_Matching.req.challenges"/>
    <s v="Q6_3_Matching.req.challenges"/>
    <s v="Matching requirements are a grant barrier"/>
    <s v="1=Selected; 0=Not selected"/>
    <s v="None"/>
    <s v="None"/>
    <s v="No direct CivicPulse equivalent identified"/>
    <s v="N/A"/>
    <s v="No match (ARISE-only)"/>
    <s v="Keep as ARISE-only grant-barrier variable"/>
    <s v="ARISE-only binary (0/1)"/>
    <s v="ARISE missing Q6 -&gt; missing"/>
    <s v="ARISE-specific grant barrier detail"/>
    <x v="3"/>
  </r>
  <r>
    <s v="Grant / External Funding"/>
    <s v="grant_barrier_funding_information"/>
    <s v="Q6_4_Lack.of.fund.info"/>
    <s v="Q6_4_Lack.of.fund.info"/>
    <s v="Lack of information on funding opportunities is a grant barrier"/>
    <s v="1=Selected; 0=Not selected"/>
    <s v="None"/>
    <s v="None"/>
    <s v="No direct CivicPulse equivalent identified"/>
    <s v="N/A"/>
    <s v="No match (ARISE-only)"/>
    <s v="Keep as ARISE-only grant-barrier variable"/>
    <s v="ARISE-only binary (0/1)"/>
    <s v="ARISE missing Q6 -&gt; missing"/>
    <s v="ARISE-specific grant barrier detail"/>
    <x v="3"/>
  </r>
  <r>
    <s v="Grant / External Funding"/>
    <s v="grant_barrier_goal_disagreement"/>
    <s v="Q6_5_Disagreement.over.goals"/>
    <s v="Q6_5_Disagreement.over.goals"/>
    <s v="Disagreement over goals is a grant barrier"/>
    <s v="1=Selected; 0=Not selected"/>
    <s v="None"/>
    <s v="None"/>
    <s v="No direct CivicPulse equivalent identified"/>
    <s v="N/A"/>
    <s v="No match (ARISE-only)"/>
    <s v="Keep as ARISE-only grant-barrier variable"/>
    <s v="ARISE-only binary (0/1)"/>
    <s v="ARISE missing Q6 -&gt; missing"/>
    <s v="ARISE-specific grant barrier detail"/>
    <x v="3"/>
  </r>
  <r>
    <s v="Grant / External Funding"/>
    <s v="grant_barrier_capacity"/>
    <s v="Q6_6_Lack.of.capacity"/>
    <s v="Q6_6_Lack.of.capacity"/>
    <s v="Lack of capacity is a grant barrier"/>
    <s v="1=Selected; 0=Not selected"/>
    <s v="None"/>
    <s v="None"/>
    <s v="No direct CivicPulse equivalent identified"/>
    <s v="N/A"/>
    <s v="No match (ARISE-only)"/>
    <s v="Keep as ARISE-only grant-barrier variable"/>
    <s v="ARISE-only binary (0/1)"/>
    <s v="ARISE missing Q6 -&gt; missing"/>
    <s v="ARISE-specific grant barrier detail"/>
    <x v="3"/>
  </r>
  <r>
    <s v="Grant / External Funding"/>
    <s v="grant_barrier_other"/>
    <s v="Q6_7_Others"/>
    <s v="Q6_7_Others"/>
    <s v="Other grant barrier (specify in text field if present)"/>
    <s v="1=Selected; 0=Not selected"/>
    <s v="None"/>
    <s v="None"/>
    <s v="No direct CivicPulse equivalent identified"/>
    <s v="N/A"/>
    <s v="No match (ARISE-only)"/>
    <s v="Keep as ARISE-only grant-barrier variable"/>
    <s v="ARISE-only binary (0/1)"/>
    <s v="ARISE missing Q6 -&gt; missing"/>
    <s v="ARISE-specific grant barrier detail"/>
    <x v="3"/>
  </r>
  <r>
    <s v="Grant / External Funding"/>
    <s v="grant_barrier_skip_none_selected"/>
    <s v="Q6_SKIP"/>
    <s v="Q6_SKIP"/>
    <s v="Grant barriers none/skip indicator (derived from none-of-the-above selection)"/>
    <s v="Q6 none-of-the-above selected -&gt; 0/skip indicator"/>
    <s v="None"/>
    <s v="None"/>
    <s v="No CivicPulse equivalent"/>
    <s v="N/A"/>
    <s v="No match (ARISE-only)"/>
    <s v="Use for cleaning/denominator decisions in ARISE"/>
    <s v="ARISE-only skip indicator"/>
    <s v="ARISE missing Q6 -&gt; missing"/>
    <s v="Do not treat as a substantive barrier"/>
    <x v="3"/>
  </r>
  <r>
    <s v="Collaboration / Networks"/>
    <s v="partnership_with_nonprofits_proxy"/>
    <s v="Q12_2_Lack.of.potential.partner"/>
    <s v="Q12_2_Lack.of.potential.partner"/>
    <s v="Lack of potential partners is an obstacle (proxy inverse of partnership capacity)"/>
    <s v="1=No obstacle; 2=Small obstacle; 3=Moderate obstacle; 4=Large obstacle; 5=Very large obstacle; NA"/>
    <s v="Partner_SC"/>
    <s v="Partner_SC"/>
    <s v="In the past five years has your local government collaborated with nonprofit organizations on disaster preparedness or response?"/>
    <s v="Stored as CivicPulse codes: 1=Yes; 2=No; 3=I don't know; 4=Not applicable/no disaster; 'NA'=missing"/>
    <s v="Weak partial (proxy / reverse concept)"/>
    <s v="Reverse-code only for concept-level comparison if needed; otherwise keep source-specific"/>
    <s v="Source-specific proxy ordinal or binary"/>
    <s v="ARISE NA -&gt; missing; CivicPulse 'NA' -&gt; missing; CivicPulse code '4' may be treated as missing for pooled analysis"/>
    <s v="Proxy match only"/>
    <x v="2"/>
  </r>
  <r>
    <s v="Collaboration / Networks"/>
    <s v="agency_coordination_obstacle_proxy"/>
    <s v="Q12_1_Lack.of.support"/>
    <s v="Q12_1_Lack.of.support"/>
    <s v="Lack of support from other actors/agencies is an obstacle"/>
    <s v="1=No obstacle; 2=Small obstacle; 3=Moderate obstacle; 4=Large obstacle; 5=Very large obstacle; NA"/>
    <s v="Agencies_SC"/>
    <s v="Agencies_SC"/>
    <s v="Extent of emergency management involvement in capital planning process"/>
    <s v="Stored as CivicPulse codes: 1=Not involved at all; 2=Minimally involved; 3=Somewhat involved; 4=Highly involved; 5=Don't know; 6=Not applicable; 'NA'=missing"/>
    <s v="Weak partial (proxy / reverse concept)"/>
    <s v="Use only as a proxy with explicit reverse-direction note"/>
    <s v="Source-specific proxy ordinal"/>
    <s v="ARISE NA -&gt; missing; CivicPulse 'NA' -&gt; missing; CivicPulse codes '5'/'6' -&gt; missing (recommended)"/>
    <s v="Proxy row only"/>
    <x v="2"/>
  </r>
  <r>
    <s v="Preparedness Planning"/>
    <s v="planning_capacity_obstacle_proxy"/>
    <s v="Q12_3_Insufficient.internal.resources"/>
    <s v="Q12_3_Insufficient.internal.resources"/>
    <s v="Insufficient internal resources is an obstacle to collaboration/planning work"/>
    <s v="1=No obstacle; 2=Small obstacle; 3=Moderate obstacle; 4=Large obstacle; 5=Very large obstacle; NA"/>
    <s v="Planning_SC"/>
    <s v="Planning_SC"/>
    <s v="Extent to which hazard mitigation is considered in capital projects/CIP"/>
    <s v="Stored as CivicPulse codes: 1=Not considered at all; 2=Minimally considered; 3=Somewhat considered; 4=Sufficiently considered; 5=Extensively considered; 6=Don't know; 7=Not applicable; 'NA'=missing"/>
    <s v="Weak partial (proxy / reverse concept)"/>
    <s v="Use only as a proxy if no better planning-capacity measure is available"/>
    <s v="Source-specific proxy ordinal"/>
    <s v="ARISE NA -&gt; missing; CivicPulse 'NA' -&gt; missing; CivicPulse codes '6'/'7' -&gt; missing (recommended)"/>
    <s v="Proxy row only"/>
    <x v="2"/>
  </r>
  <r>
    <s v="Collaboration / Networks"/>
    <s v="network_capacity_total_actors"/>
    <s v="T_Num_Total / W_Num_Total / E_Num_Total"/>
    <s v="T_Num_Total; W_Num_Total; E_Num_Total"/>
    <s v="Total number of connected actors across transportation water and electricity systems"/>
    <s v="Each variable ranges 0-15"/>
    <s v="None"/>
    <s v="None"/>
    <s v="No direct CivicPulse network-size equivalent"/>
    <s v="N/A"/>
    <s v="No match (ARISE-only)"/>
    <s v="Retain as ARISE-only network capacity variables"/>
    <s v="ARISE-only numeric"/>
    <s v="ARISE missing -&gt; missing"/>
    <s v="Strong ARISE-only governance/network signal"/>
    <x v="3"/>
  </r>
  <r>
    <s v="Collaboration / Networks"/>
    <s v="network_perceived_impact"/>
    <s v="Q116/Q117/Q118 network impact"/>
    <s v="Q116_Network.important.to.T; Q117_Network.important.to.W; Q118_Network.important.to.E"/>
    <s v="Perceived impact of city network interactions on system resilience"/>
    <s v="1=Strong negative impact; 2=Modest negative impact; 3=No impact; 4=Modest positive impact; 5=Strong positive impact; NA"/>
    <s v="None"/>
    <s v="None"/>
    <s v="No direct CivicPulse equivalent identified"/>
    <s v="N/A"/>
    <s v="No match (ARISE-only)"/>
    <s v="Retain as ARISE-only network outcome variables"/>
    <s v="ARISE-only ordinal"/>
    <s v="ARISE NA -&gt; missing"/>
    <s v="Use in ARISE-only analysis/discussion"/>
    <x v="3"/>
  </r>
  <r>
    <s v="Preparedness Planning"/>
    <s v="infrastructure_hardening_actions_count"/>
    <s v="Q11_multi"/>
    <s v="Q11_1_Transportation;Q11_2_Electricity;Q11_3_Drinking.water.treatment;Q11_4_Wastewater.treatment;Q11_5_Hospitals;Q11_6_Schools;Q11_7_Cyber..IT"/>
    <s v="Count of infrastructure sectors where city has pursued hardening actions"/>
    <s v="Sum selected across Q11 sector items (0-7)"/>
    <s v="None"/>
    <s v="None"/>
    <s v="No direct row-level CivicPulse equivalent confirmed"/>
    <s v="N/A"/>
    <s v="No match (ARISE-only)"/>
    <s v="Keep as ARISE-only preparedness action index unless later matching variables are identified"/>
    <s v="Categorical count (0-7)"/>
    <s v="ARISE missing Q11 -&gt; missing"/>
    <s v="Useful ARISE-only preparedness measure"/>
    <x v="3"/>
  </r>
  <r>
    <s v="Infrastructure / Risk Perception"/>
    <s v="critical_infrastructure_concern_index"/>
    <s v="Q4_multi"/>
    <s v="Q4_concern_electricity;Q4_concern_transportation;Q4_concern_cleanwater;Q4_concern_wastewater"/>
    <s v="Concern about resilience of core infrastructure systems"/>
    <s v="Each Q4 concern item ordered categorical; build summary index if needed"/>
    <s v="Asset_SC"/>
    <s v="Asset_SC"/>
    <s v="Condition of capital assets and infrastructure in jurisdiction"/>
    <s v="Stored as CivicPulse codes: 1=Very poor; 2=Poor; 3=Fair; 4=Good; 5=Excellent; 'NA'=missing"/>
    <s v="Weak partial (risk concern vs asset condition)"/>
    <s v="Do not directly pool. If needed compare as adjacent constructs with source flag"/>
    <s v="Source-specific ordinal or derived summary"/>
    <s v="ARISE NA -&gt; missing; CivicPulse 'NA' -&gt; missing"/>
    <s v="This is not a direct equivalence"/>
    <x v="2"/>
  </r>
  <r>
    <s v="Preparedness Experience"/>
    <s v="hazard_experience_profile"/>
    <s v="Q3_hazard_ranks"/>
    <s v="Q3_1st.Dis; Q3_2nd.Dis; Q3_3rd.Dis"/>
    <s v="Top-ranked hazards that have affected the jurisdiction"/>
    <s v="ARISE hazard codes (ranked selections); NA"/>
    <s v="Disaster_MS"/>
    <s v="Disaster_MS"/>
    <s v="Disaster types experienced (multi-select)"/>
    <s v="Stored as CivicPulse comma-delimited codes. Questionnaire indicates: 1=Loss of life; 2=Significant property damage; 3=Mass displacement of people; 4=Declared State of Emergency; 5=None of the above. Dataset also contains code '6', which should be verified before final harmonization. 'NA'=missing"/>
    <s v="Partial (format mismatch)"/>
    <s v="Harmonize at hazard-family level after mapping ARISE ranked hazard codes to CivicPulse disaster categories"/>
    <s v="Source-specific categorical/multi-binary or derived hazard families"/>
    <s v="Missing module/NA -&gt; missing; verify meaning of CivicPulse code '6' before final pooled coding"/>
    <s v="Verify category mapping before pooled hazard-type analysis"/>
    <x v="1"/>
  </r>
  <r>
    <s v="Preparedness Experience"/>
    <s v="recent_disaster_any_indicator"/>
    <s v="Q3_hazard_ranks"/>
    <s v="Q3_1st.Dis;Q3_2nd.Dis;Q3_3rd.Dis"/>
    <s v="Indicator that at least one hazard/disaster was reported among top impacts"/>
    <s v="Any non-missing ranked hazard code = 1"/>
    <s v="Disaster_MS"/>
    <s v="Disaster_MS"/>
    <s v="Indicator any disaster type selected"/>
    <s v="Derived from CivicPulse Disaster_MS. Treat any substantive disaster/outcome code as 1; treat 'NA' as missing; verify how code '6' should be handled before final binary construction"/>
    <s v="Partial (derived binary)"/>
    <s v="Create source-specific any-disaster indicator and verify comparable reference period before pooling"/>
    <s v="Binary (0/1)"/>
    <s v="Missing module/NA -&gt; missing; verify meaning of CivicPulse code '6' before final pooled coding"/>
    <s v="Time window may differ across surveys"/>
    <x v="1"/>
  </r>
  <r>
    <s v="Preparedness / Inclusion"/>
    <s v="services_accessibility_index"/>
    <s v="Q9_accessibility_multi"/>
    <s v="Q9_2_Early.warning_Lang; Q9_10_Evacuation.plan; Q9_17_Financial.assistance.for.low.income.shut.offs; Q9_18_Heating.or.cooling.stations"/>
    <s v="Accessibility-related supports index"/>
    <s v="Sum of selected ARISE accessibility-related items"/>
    <s v="Services_GR + Early_SC + Evacuation_SC"/>
    <s v="Derived from Services_GR_*/Early_SC/Evacuation_SC"/>
    <s v="Accessibility-related preparedness supports index"/>
    <s v="Derived from recoded binary components: Services_GR_financial, Services_GR_heating, Early_SC, Evacuation_SC; service-grid fields use provider-code logic; 'NA'=missing"/>
    <s v="Derived (concept-level)"/>
    <s v="Create a harmonized accessibility index using binary recodes of comparable items"/>
    <s v="Derived count or proportion"/>
    <s v="Require at least 50 percent component availability to compute; treat CivicPulse 'NA' as missing"/>
    <s v="Good composite for final visuals"/>
    <x v="4"/>
  </r>
  <r>
    <s v="CivicPulse-only"/>
    <s v="groups_children_capacity"/>
    <s v="None"/>
    <s v="None"/>
    <s v="No direct ARISE equivalent for confidence meeting needs of children"/>
    <s v="N/A"/>
    <s v="Groups_GR"/>
    <s v="Groups_GR_children"/>
    <s v="Confidence can meet needs of children in a disaster"/>
    <s v="Stored as CivicPulse codes: 1=Not at all confident; 2=Slightly confident; 3=Somewhat confident; 4=Confident; 5=Very confident; 6=Not applicable; 'NA'=missing"/>
    <s v="No match (CivicPulse-only)"/>
    <s v="Retain as CivicPulse-only or include in CivicPulse-only summaries"/>
    <s v="CivicPulse-only ordinal"/>
    <s v="CivicPulse 'NA' -&gt; missing; CivicPulse code '6'=Not applicable -&gt; missing (recommended)"/>
    <s v="Documented unmatched CivicPulse content"/>
    <x v="3"/>
  </r>
  <r>
    <s v="CivicPulse-only"/>
    <s v="asset_condition_capacity_block"/>
    <s v="None"/>
    <s v="None"/>
    <s v="No confirmed ARISE equivalent for CivicPulse asset-condition block"/>
    <s v="N/A"/>
    <s v="Asset_SC"/>
    <s v="Asset_SC"/>
    <s v="Condition of capital assets and infrastructure"/>
    <s v="Stored as CivicPulse codes: 1=Very poor; 2=Poor; 3=Fair; 4=Good; 5=Excellent; 'NA'=missing"/>
    <s v="No match (CivicPulse-only)"/>
    <s v="Retain unless a direct ARISE equivalent is later identified"/>
    <s v="CivicPulse-only"/>
    <s v="CivicPulse 'NA' -&gt; missing"/>
    <s v="Do not force-match"/>
    <x v="3"/>
  </r>
  <r>
    <s v="CivicPulse-only"/>
    <s v="agencies_capacity_block"/>
    <s v="None"/>
    <s v="None"/>
    <s v="No confirmed ARISE equivalent for CivicPulse agencies block"/>
    <s v="N/A"/>
    <s v="Agencies_SC"/>
    <s v="Agencies_SC"/>
    <s v="Extent of emergency management involvement in capital planning process"/>
    <s v="Stored as CivicPulse codes: 1=Not involved at all; 2=Minimally involved; 3=Somewhat involved; 4=Highly involved; 5=Don't know; 6=Not applicable; 'NA'=missing"/>
    <s v="No match / Pending row-level verification"/>
    <s v="Retain until a direct row-level ARISE alignment is verified"/>
    <s v="CivicPulse-only"/>
    <s v="CivicPulse 'NA' -&gt; missing; CivicPulse codes '5'/'6' -&gt; missing (recommended for pooled analysis)"/>
    <s v="Block-level placeholder for unmatched content"/>
    <x v="3"/>
  </r>
  <r>
    <s v="CivicPulse-only"/>
    <s v="planning_capacity_block"/>
    <s v="None"/>
    <s v="None"/>
    <s v="No confirmed ARISE equivalent for CivicPulse planning block"/>
    <s v="N/A"/>
    <s v="Planning_SC"/>
    <s v="Planning_SC"/>
    <s v="Extent to which hazard mitigation is considered in capital projects/CIP"/>
    <s v="Stored as CivicPulse codes: 1=Not considered at all; 2=Minimally considered; 3=Somewhat considered; 4=Sufficiently considered; 5=Extensively considered; 6=Don't know; 7=Not applicable; 'NA'=missing"/>
    <s v="No match / Pending row-level verification"/>
    <s v="Retain until a direct ARISE alignment is verified"/>
    <s v="CivicPulse-only"/>
    <s v="CivicPulse 'NA' -&gt; missing; CivicPulse codes '6'/'7' -&gt; missing (recommended for pooled analysis)"/>
    <s v="Block-level placeholder for unmatched content"/>
    <x v="3"/>
  </r>
  <r>
    <s v="Administrative / Metadata"/>
    <s v="source_survey"/>
    <s v="N/A"/>
    <s v="source"/>
    <s v="Survey source identifier"/>
    <s v="ARISE or CivicPulse"/>
    <s v="N/A"/>
    <s v="source"/>
    <s v="Survey source identifier"/>
    <s v="ARISE or CivicPulse"/>
    <s v="Exact (administrative)"/>
    <s v="Create manually in combined dataset"/>
    <s v="Nominal"/>
    <s v="No missing allowed"/>
    <s v="Required for pooled analyses"/>
    <x v="0"/>
  </r>
  <r>
    <s v="Administrative / Metadata"/>
    <s v="respondent_or_case_id"/>
    <s v="ResponseId"/>
    <s v="ResponseId"/>
    <s v="Unique ARISE response identifier"/>
    <s v="String/numeric ID"/>
    <s v="Administrative"/>
    <s v="Respondentid"/>
    <s v="Unique CivicPulse response identifier"/>
    <s v="String/numeric ID"/>
    <s v="Exact (administrative)"/>
    <s v="Create combined unique ID = source + '_' + nativeID"/>
    <s v="String ID"/>
    <s v="If native ID missing create fallback row index"/>
    <s v="Use source-native IDs"/>
    <x v="0"/>
  </r>
  <r>
    <s v="Administrative / Metadata"/>
    <s v="jurisdiction_name"/>
    <s v="None"/>
    <s v="None"/>
    <s v="No confirmed jurisdiction-name field in current uploaded ARISE general dataset"/>
    <s v="N/A"/>
    <s v="Administrative"/>
    <s v="govname"/>
    <s v="Local government / jurisdiction name"/>
    <s v="Stored as text (e.g. city/county government name)"/>
    <s v="Partial (CivicPulse-only confirmed in current uploaded data)"/>
    <s v="Keep CivicPulse govname; add ARISE jurisdiction field later only if a version containing it is provided"/>
    <s v="Text"/>
    <s v="Blank -&gt; missing"/>
    <s v="Do not invent an ARISE field for the current uploaded general dataset"/>
    <x v="1"/>
  </r>
  <r>
    <s v="Administrative / Metadata"/>
    <s v="jurisdiction_type"/>
    <s v="None"/>
    <s v="None"/>
    <s v="No confirmed ARISE government-type field in current uploaded ARISE general dataset"/>
    <s v="N/A"/>
    <s v="Administrative"/>
    <s v="Govtype"/>
    <s v="CivicPulse government type"/>
    <s v="Stored as text categories such as Municipality; County; Water Special District; Housing Special District"/>
    <s v="Partial (CivicPulse-only confirmed in current uploaded data)"/>
    <s v="Keep CivicPulse Govtype; add ARISE government type later only if a version containing it is provided"/>
    <s v="Nominal categorical"/>
    <s v="Blank -&gt; missing"/>
    <s v="Avoid placeholder ARISE field names"/>
    <x v="1"/>
  </r>
  <r>
    <m/>
    <m/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F15EE-2DB2-244D-89CD-E81A1F90CDB9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15">
    <pivotField axis="axisRow" dataField="1" showAll="0" sortType="descending">
      <items count="17">
        <item h="1" x="15"/>
        <item x="0"/>
        <item x="5"/>
        <item x="9"/>
        <item x="11"/>
        <item x="12"/>
        <item x="2"/>
        <item x="10"/>
        <item x="7"/>
        <item x="1"/>
        <item x="6"/>
        <item x="3"/>
        <item x="8"/>
        <item x="13"/>
        <item x="14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 v="8"/>
    </i>
    <i>
      <x v="10"/>
    </i>
    <i>
      <x v="11"/>
    </i>
    <i>
      <x v="12"/>
    </i>
    <i>
      <x v="13"/>
    </i>
    <i>
      <x v="14"/>
    </i>
    <i>
      <x v="6"/>
    </i>
    <i>
      <x v="3"/>
    </i>
    <i>
      <x v="4"/>
    </i>
    <i>
      <x v="15"/>
    </i>
    <i>
      <x v="2"/>
    </i>
    <i>
      <x v="9"/>
    </i>
    <i>
      <x v="5"/>
    </i>
    <i>
      <x v="7"/>
    </i>
    <i>
      <x v="1"/>
    </i>
    <i t="grand">
      <x/>
    </i>
  </rowItems>
  <colItems count="1">
    <i/>
  </colItems>
  <dataFields count="1">
    <dataField name="Count of Concept_Domai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EADE8-BE6A-D143-BEC3-74CE893A23E6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h="1" x="5"/>
        <item x="2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6">
    <i>
      <x v="2"/>
    </i>
    <i>
      <x v="3"/>
    </i>
    <i>
      <x v="1"/>
    </i>
    <i>
      <x v="4"/>
    </i>
    <i>
      <x v="5"/>
    </i>
    <i t="grand">
      <x/>
    </i>
  </rowItems>
  <colItems count="1">
    <i/>
  </colItems>
  <dataFields count="1">
    <dataField name="Count of Match_Group" fld="1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CB09-370D-C84B-80F4-76148ADD35CF}">
  <dimension ref="A3:B19"/>
  <sheetViews>
    <sheetView workbookViewId="0">
      <selection activeCell="D6" sqref="D6"/>
    </sheetView>
  </sheetViews>
  <sheetFormatPr baseColWidth="10" defaultRowHeight="16" x14ac:dyDescent="0.2"/>
  <cols>
    <col min="1" max="1" width="26.6640625" bestFit="1" customWidth="1"/>
    <col min="2" max="2" width="23.1640625" bestFit="1" customWidth="1"/>
  </cols>
  <sheetData>
    <row r="3" spans="1:2" x14ac:dyDescent="0.2">
      <c r="A3" s="1" t="s">
        <v>434</v>
      </c>
      <c r="B3" t="s">
        <v>436</v>
      </c>
    </row>
    <row r="4" spans="1:2" x14ac:dyDescent="0.2">
      <c r="A4" s="2" t="s">
        <v>213</v>
      </c>
      <c r="B4" s="3">
        <v>9</v>
      </c>
    </row>
    <row r="5" spans="1:2" x14ac:dyDescent="0.2">
      <c r="A5" s="2" t="s">
        <v>146</v>
      </c>
      <c r="B5" s="3">
        <v>8</v>
      </c>
    </row>
    <row r="6" spans="1:2" x14ac:dyDescent="0.2">
      <c r="A6" s="2" t="s">
        <v>61</v>
      </c>
      <c r="B6" s="3">
        <v>6</v>
      </c>
    </row>
    <row r="7" spans="1:2" x14ac:dyDescent="0.2">
      <c r="A7" s="2" t="s">
        <v>259</v>
      </c>
      <c r="B7" s="3">
        <v>4</v>
      </c>
    </row>
    <row r="8" spans="1:2" x14ac:dyDescent="0.2">
      <c r="A8" s="2" t="s">
        <v>369</v>
      </c>
      <c r="B8" s="3">
        <v>4</v>
      </c>
    </row>
    <row r="9" spans="1:2" x14ac:dyDescent="0.2">
      <c r="A9" s="2" t="s">
        <v>395</v>
      </c>
      <c r="B9" s="3">
        <v>4</v>
      </c>
    </row>
    <row r="10" spans="1:2" x14ac:dyDescent="0.2">
      <c r="A10" s="2" t="s">
        <v>35</v>
      </c>
      <c r="B10" s="3">
        <v>3</v>
      </c>
    </row>
    <row r="11" spans="1:2" x14ac:dyDescent="0.2">
      <c r="A11" s="2" t="s">
        <v>282</v>
      </c>
      <c r="B11" s="3">
        <v>2</v>
      </c>
    </row>
    <row r="12" spans="1:2" x14ac:dyDescent="0.2">
      <c r="A12" s="2" t="s">
        <v>332</v>
      </c>
      <c r="B12" s="3">
        <v>2</v>
      </c>
    </row>
    <row r="13" spans="1:2" x14ac:dyDescent="0.2">
      <c r="A13" s="2" t="s">
        <v>108</v>
      </c>
      <c r="B13" s="3">
        <v>2</v>
      </c>
    </row>
    <row r="14" spans="1:2" x14ac:dyDescent="0.2">
      <c r="A14" s="2" t="s">
        <v>125</v>
      </c>
      <c r="B14" s="3">
        <v>2</v>
      </c>
    </row>
    <row r="15" spans="1:2" x14ac:dyDescent="0.2">
      <c r="A15" s="2" t="s">
        <v>27</v>
      </c>
      <c r="B15" s="3">
        <v>1</v>
      </c>
    </row>
    <row r="16" spans="1:2" x14ac:dyDescent="0.2">
      <c r="A16" s="2" t="s">
        <v>355</v>
      </c>
      <c r="B16" s="3">
        <v>1</v>
      </c>
    </row>
    <row r="17" spans="1:2" x14ac:dyDescent="0.2">
      <c r="A17" s="2" t="s">
        <v>320</v>
      </c>
      <c r="B17" s="3">
        <v>1</v>
      </c>
    </row>
    <row r="18" spans="1:2" x14ac:dyDescent="0.2">
      <c r="A18" s="2" t="s">
        <v>15</v>
      </c>
      <c r="B18" s="3">
        <v>1</v>
      </c>
    </row>
    <row r="19" spans="1:2" x14ac:dyDescent="0.2">
      <c r="A19" s="2" t="s">
        <v>435</v>
      </c>
      <c r="B19" s="3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3E91-BCD4-1F43-B06D-AA12594ADB49}">
  <dimension ref="A3:B9"/>
  <sheetViews>
    <sheetView zoomScale="108" zoomScaleNormal="100"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9.6640625" bestFit="1" customWidth="1"/>
  </cols>
  <sheetData>
    <row r="3" spans="1:2" x14ac:dyDescent="0.2">
      <c r="A3" s="1" t="s">
        <v>434</v>
      </c>
      <c r="B3" t="s">
        <v>438</v>
      </c>
    </row>
    <row r="4" spans="1:2" x14ac:dyDescent="0.2">
      <c r="A4" s="2" t="s">
        <v>441</v>
      </c>
      <c r="B4" s="3">
        <v>22</v>
      </c>
    </row>
    <row r="5" spans="1:2" x14ac:dyDescent="0.2">
      <c r="A5" s="2" t="s">
        <v>439</v>
      </c>
      <c r="B5" s="3">
        <v>16</v>
      </c>
    </row>
    <row r="6" spans="1:2" x14ac:dyDescent="0.2">
      <c r="A6" s="2" t="s">
        <v>442</v>
      </c>
      <c r="B6" s="3">
        <v>5</v>
      </c>
    </row>
    <row r="7" spans="1:2" x14ac:dyDescent="0.2">
      <c r="A7" s="2" t="s">
        <v>22</v>
      </c>
      <c r="B7" s="3">
        <v>5</v>
      </c>
    </row>
    <row r="8" spans="1:2" x14ac:dyDescent="0.2">
      <c r="A8" s="2" t="s">
        <v>440</v>
      </c>
      <c r="B8" s="3">
        <v>2</v>
      </c>
    </row>
    <row r="9" spans="1:2" x14ac:dyDescent="0.2">
      <c r="A9" s="2" t="s">
        <v>435</v>
      </c>
      <c r="B9" s="3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E13E-0A01-5747-94BF-6E4C87F67FB1}">
  <dimension ref="A1:P51"/>
  <sheetViews>
    <sheetView tabSelected="1" topLeftCell="A20" workbookViewId="0">
      <selection activeCell="E58" sqref="E58"/>
    </sheetView>
  </sheetViews>
  <sheetFormatPr baseColWidth="10" defaultRowHeight="16" x14ac:dyDescent="0.2"/>
  <cols>
    <col min="1" max="1" width="19" customWidth="1"/>
    <col min="2" max="2" width="24.33203125" customWidth="1"/>
    <col min="3" max="3" width="20.1640625" customWidth="1"/>
    <col min="4" max="5" width="20.5" customWidth="1"/>
    <col min="6" max="6" width="20" customWidth="1"/>
    <col min="7" max="7" width="21.33203125" customWidth="1"/>
    <col min="8" max="8" width="18.5" customWidth="1"/>
    <col min="9" max="9" width="16.5" customWidth="1"/>
    <col min="10" max="10" width="17" customWidth="1"/>
    <col min="11" max="11" width="17.1640625" customWidth="1"/>
    <col min="15" max="15" width="81.5" customWidth="1"/>
    <col min="16" max="16" width="25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437</v>
      </c>
    </row>
    <row r="2" spans="1:16" x14ac:dyDescent="0.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18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tr">
        <f>IF(ISNUMBER(SEARCH("No match",K2)),"No match",IF(ISNUMBER(SEARCH("Weak partial",K2)),"Weak partial",IF(LEFT(K2,7)="Derived","Derived",IF(LEFT(K2,5)="Exact","Exact",IF(LEFT(K2,7)="Partial","Partial","")))))</f>
        <v>Exact</v>
      </c>
    </row>
    <row r="3" spans="1:16" x14ac:dyDescent="0.2">
      <c r="A3" t="s">
        <v>27</v>
      </c>
      <c r="B3" t="s">
        <v>28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 t="s">
        <v>32</v>
      </c>
      <c r="I3" t="s">
        <v>30</v>
      </c>
      <c r="J3" t="s">
        <v>33</v>
      </c>
      <c r="K3" t="s">
        <v>22</v>
      </c>
      <c r="L3" t="s">
        <v>23</v>
      </c>
      <c r="M3" t="s">
        <v>24</v>
      </c>
      <c r="N3" t="s">
        <v>25</v>
      </c>
      <c r="O3" t="s">
        <v>34</v>
      </c>
      <c r="P3" t="str">
        <f t="shared" ref="P3:P51" si="0">IF(ISNUMBER(SEARCH("No match",K3)),"No match",IF(ISNUMBER(SEARCH("Weak partial",K3)),"Weak partial",IF(LEFT(K3,7)="Derived","Derived",IF(LEFT(K3,5)="Exact","Exact",IF(LEFT(K3,7)="Partial","Partial","")))))</f>
        <v>Exact</v>
      </c>
    </row>
    <row r="4" spans="1:16" x14ac:dyDescent="0.2">
      <c r="A4" t="s">
        <v>35</v>
      </c>
      <c r="B4" t="s">
        <v>36</v>
      </c>
      <c r="C4" t="s">
        <v>37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25</v>
      </c>
      <c r="O4" t="s">
        <v>47</v>
      </c>
      <c r="P4" t="str">
        <f t="shared" si="0"/>
        <v>Partial</v>
      </c>
    </row>
    <row r="5" spans="1:16" x14ac:dyDescent="0.2">
      <c r="A5" t="s">
        <v>35</v>
      </c>
      <c r="B5" t="s">
        <v>48</v>
      </c>
      <c r="C5" t="s">
        <v>49</v>
      </c>
      <c r="D5" t="s">
        <v>49</v>
      </c>
      <c r="E5" t="s">
        <v>50</v>
      </c>
      <c r="F5" t="s">
        <v>39</v>
      </c>
      <c r="G5" t="s">
        <v>40</v>
      </c>
      <c r="H5" t="s">
        <v>51</v>
      </c>
      <c r="I5" t="s">
        <v>52</v>
      </c>
      <c r="J5" t="s">
        <v>43</v>
      </c>
      <c r="K5" t="s">
        <v>44</v>
      </c>
      <c r="L5" t="s">
        <v>53</v>
      </c>
      <c r="M5" t="s">
        <v>54</v>
      </c>
      <c r="N5" t="s">
        <v>25</v>
      </c>
      <c r="O5" t="s">
        <v>55</v>
      </c>
      <c r="P5" t="str">
        <f t="shared" si="0"/>
        <v>Partial</v>
      </c>
    </row>
    <row r="6" spans="1:16" x14ac:dyDescent="0.2">
      <c r="A6" t="s">
        <v>35</v>
      </c>
      <c r="B6" t="s">
        <v>56</v>
      </c>
      <c r="C6" t="s">
        <v>57</v>
      </c>
      <c r="D6" t="s">
        <v>57</v>
      </c>
      <c r="E6" t="s">
        <v>58</v>
      </c>
      <c r="F6" t="s">
        <v>39</v>
      </c>
      <c r="G6" t="s">
        <v>40</v>
      </c>
      <c r="H6" t="s">
        <v>59</v>
      </c>
      <c r="I6" t="s">
        <v>60</v>
      </c>
      <c r="J6" t="s">
        <v>43</v>
      </c>
      <c r="K6" t="s">
        <v>44</v>
      </c>
      <c r="L6" t="s">
        <v>53</v>
      </c>
      <c r="M6" t="s">
        <v>54</v>
      </c>
      <c r="N6" t="s">
        <v>25</v>
      </c>
      <c r="O6" t="s">
        <v>26</v>
      </c>
      <c r="P6" t="str">
        <f t="shared" si="0"/>
        <v>Partial</v>
      </c>
    </row>
    <row r="7" spans="1:16" x14ac:dyDescent="0.2">
      <c r="A7" t="s">
        <v>61</v>
      </c>
      <c r="B7" t="s">
        <v>62</v>
      </c>
      <c r="C7" t="s">
        <v>63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73</v>
      </c>
      <c r="O7" t="s">
        <v>74</v>
      </c>
      <c r="P7" t="str">
        <f t="shared" si="0"/>
        <v>Partial</v>
      </c>
    </row>
    <row r="8" spans="1:16" x14ac:dyDescent="0.2">
      <c r="A8" t="s">
        <v>61</v>
      </c>
      <c r="B8" t="s">
        <v>75</v>
      </c>
      <c r="C8" t="s">
        <v>76</v>
      </c>
      <c r="D8" t="s">
        <v>76</v>
      </c>
      <c r="E8" t="s">
        <v>77</v>
      </c>
      <c r="F8" t="s">
        <v>65</v>
      </c>
      <c r="G8" t="s">
        <v>66</v>
      </c>
      <c r="H8" t="s">
        <v>78</v>
      </c>
      <c r="I8" t="s">
        <v>79</v>
      </c>
      <c r="J8" t="s">
        <v>80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  <c r="P8" t="str">
        <f t="shared" si="0"/>
        <v>Partial</v>
      </c>
    </row>
    <row r="9" spans="1:16" x14ac:dyDescent="0.2">
      <c r="A9" t="s">
        <v>61</v>
      </c>
      <c r="B9" t="s">
        <v>81</v>
      </c>
      <c r="C9" t="s">
        <v>82</v>
      </c>
      <c r="D9" t="s">
        <v>82</v>
      </c>
      <c r="E9" t="s">
        <v>83</v>
      </c>
      <c r="F9" t="s">
        <v>65</v>
      </c>
      <c r="G9" t="s">
        <v>66</v>
      </c>
      <c r="H9" t="s">
        <v>84</v>
      </c>
      <c r="I9" t="s">
        <v>85</v>
      </c>
      <c r="J9" t="s">
        <v>80</v>
      </c>
      <c r="K9" t="s">
        <v>70</v>
      </c>
      <c r="L9" t="s">
        <v>71</v>
      </c>
      <c r="M9" t="s">
        <v>72</v>
      </c>
      <c r="N9" t="s">
        <v>73</v>
      </c>
      <c r="O9" t="s">
        <v>86</v>
      </c>
      <c r="P9" t="str">
        <f t="shared" si="0"/>
        <v>Partial</v>
      </c>
    </row>
    <row r="10" spans="1:16" x14ac:dyDescent="0.2">
      <c r="A10" t="s">
        <v>61</v>
      </c>
      <c r="B10" t="s">
        <v>87</v>
      </c>
      <c r="C10" t="s">
        <v>88</v>
      </c>
      <c r="D10" t="s">
        <v>88</v>
      </c>
      <c r="E10" t="s">
        <v>89</v>
      </c>
      <c r="F10" t="s">
        <v>65</v>
      </c>
      <c r="G10" t="s">
        <v>66</v>
      </c>
      <c r="H10" t="s">
        <v>90</v>
      </c>
      <c r="I10" t="s">
        <v>91</v>
      </c>
      <c r="J10" t="s">
        <v>80</v>
      </c>
      <c r="K10" t="s">
        <v>70</v>
      </c>
      <c r="L10" t="s">
        <v>71</v>
      </c>
      <c r="M10" t="s">
        <v>72</v>
      </c>
      <c r="N10" t="s">
        <v>73</v>
      </c>
      <c r="O10" t="s">
        <v>92</v>
      </c>
      <c r="P10" t="str">
        <f t="shared" si="0"/>
        <v>Partial</v>
      </c>
    </row>
    <row r="11" spans="1:16" x14ac:dyDescent="0.2">
      <c r="A11" t="s">
        <v>61</v>
      </c>
      <c r="B11" t="s">
        <v>93</v>
      </c>
      <c r="C11" t="s">
        <v>94</v>
      </c>
      <c r="D11" t="s">
        <v>94</v>
      </c>
      <c r="E11" t="s">
        <v>95</v>
      </c>
      <c r="F11" t="s">
        <v>65</v>
      </c>
      <c r="G11" t="s">
        <v>66</v>
      </c>
      <c r="H11" t="s">
        <v>96</v>
      </c>
      <c r="I11" t="s">
        <v>97</v>
      </c>
      <c r="J11" t="s">
        <v>80</v>
      </c>
      <c r="K11" t="s">
        <v>70</v>
      </c>
      <c r="L11" t="s">
        <v>71</v>
      </c>
      <c r="M11" t="s">
        <v>72</v>
      </c>
      <c r="N11" t="s">
        <v>73</v>
      </c>
      <c r="O11" t="s">
        <v>98</v>
      </c>
      <c r="P11" t="str">
        <f t="shared" si="0"/>
        <v>Partial</v>
      </c>
    </row>
    <row r="12" spans="1:16" x14ac:dyDescent="0.2">
      <c r="A12" t="s">
        <v>61</v>
      </c>
      <c r="B12" t="s">
        <v>99</v>
      </c>
      <c r="C12" t="s">
        <v>100</v>
      </c>
      <c r="D12" t="s">
        <v>100</v>
      </c>
      <c r="E12" t="s">
        <v>101</v>
      </c>
      <c r="F12" t="s">
        <v>65</v>
      </c>
      <c r="G12" t="s">
        <v>66</v>
      </c>
      <c r="H12" t="s">
        <v>102</v>
      </c>
      <c r="I12" t="s">
        <v>103</v>
      </c>
      <c r="J12" t="s">
        <v>80</v>
      </c>
      <c r="K12" t="s">
        <v>104</v>
      </c>
      <c r="L12" t="s">
        <v>105</v>
      </c>
      <c r="M12" t="s">
        <v>106</v>
      </c>
      <c r="N12" t="s">
        <v>73</v>
      </c>
      <c r="O12" t="s">
        <v>107</v>
      </c>
      <c r="P12" t="str">
        <f t="shared" si="0"/>
        <v>Weak partial</v>
      </c>
    </row>
    <row r="13" spans="1:16" x14ac:dyDescent="0.2">
      <c r="A13" t="s">
        <v>108</v>
      </c>
      <c r="B13" t="s">
        <v>109</v>
      </c>
      <c r="C13" t="s">
        <v>110</v>
      </c>
      <c r="D13" t="s">
        <v>110</v>
      </c>
      <c r="E13" t="s">
        <v>111</v>
      </c>
      <c r="F13" t="s">
        <v>65</v>
      </c>
      <c r="G13" t="s">
        <v>112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72</v>
      </c>
      <c r="N13" t="s">
        <v>117</v>
      </c>
      <c r="O13" t="s">
        <v>118</v>
      </c>
      <c r="P13" t="str">
        <f t="shared" si="0"/>
        <v>Partial</v>
      </c>
    </row>
    <row r="14" spans="1:16" x14ac:dyDescent="0.2">
      <c r="A14" t="s">
        <v>108</v>
      </c>
      <c r="B14" t="s">
        <v>119</v>
      </c>
      <c r="C14" t="s">
        <v>120</v>
      </c>
      <c r="D14" t="s">
        <v>120</v>
      </c>
      <c r="E14" t="s">
        <v>121</v>
      </c>
      <c r="F14" t="s">
        <v>65</v>
      </c>
      <c r="G14" t="s">
        <v>122</v>
      </c>
      <c r="H14" t="s">
        <v>122</v>
      </c>
      <c r="I14" t="s">
        <v>123</v>
      </c>
      <c r="J14" t="s">
        <v>114</v>
      </c>
      <c r="K14" t="s">
        <v>115</v>
      </c>
      <c r="L14" t="s">
        <v>116</v>
      </c>
      <c r="M14" t="s">
        <v>72</v>
      </c>
      <c r="N14" t="s">
        <v>117</v>
      </c>
      <c r="O14" t="s">
        <v>124</v>
      </c>
      <c r="P14" t="str">
        <f t="shared" si="0"/>
        <v>Partial</v>
      </c>
    </row>
    <row r="15" spans="1:16" x14ac:dyDescent="0.2">
      <c r="A15" t="s">
        <v>125</v>
      </c>
      <c r="B15" t="s">
        <v>126</v>
      </c>
      <c r="C15" t="s">
        <v>127</v>
      </c>
      <c r="D15" t="s">
        <v>127</v>
      </c>
      <c r="E15" t="s">
        <v>128</v>
      </c>
      <c r="F15" t="s">
        <v>129</v>
      </c>
      <c r="G15" t="s">
        <v>130</v>
      </c>
      <c r="H15" t="s">
        <v>130</v>
      </c>
      <c r="I15" t="s">
        <v>128</v>
      </c>
      <c r="J15" t="s">
        <v>131</v>
      </c>
      <c r="K15" t="s">
        <v>132</v>
      </c>
      <c r="L15" t="s">
        <v>133</v>
      </c>
      <c r="M15" t="s">
        <v>134</v>
      </c>
      <c r="N15" t="s">
        <v>25</v>
      </c>
      <c r="O15" t="s">
        <v>135</v>
      </c>
      <c r="P15" t="str">
        <f t="shared" si="0"/>
        <v>Exact</v>
      </c>
    </row>
    <row r="16" spans="1:16" x14ac:dyDescent="0.2">
      <c r="A16" t="s">
        <v>125</v>
      </c>
      <c r="B16" t="s">
        <v>136</v>
      </c>
      <c r="C16" t="s">
        <v>137</v>
      </c>
      <c r="D16" t="s">
        <v>137</v>
      </c>
      <c r="E16" t="s">
        <v>138</v>
      </c>
      <c r="F16" t="s">
        <v>139</v>
      </c>
      <c r="G16" t="s">
        <v>140</v>
      </c>
      <c r="H16" t="s">
        <v>140</v>
      </c>
      <c r="I16" t="s">
        <v>138</v>
      </c>
      <c r="J16" t="s">
        <v>141</v>
      </c>
      <c r="K16" t="s">
        <v>142</v>
      </c>
      <c r="L16" t="s">
        <v>143</v>
      </c>
      <c r="M16" t="s">
        <v>144</v>
      </c>
      <c r="N16" t="s">
        <v>25</v>
      </c>
      <c r="O16" t="s">
        <v>145</v>
      </c>
      <c r="P16" t="str">
        <f t="shared" si="0"/>
        <v>Partial</v>
      </c>
    </row>
    <row r="17" spans="1:16" x14ac:dyDescent="0.2">
      <c r="A17" t="s">
        <v>146</v>
      </c>
      <c r="B17" t="s">
        <v>147</v>
      </c>
      <c r="C17" t="s">
        <v>148</v>
      </c>
      <c r="D17" t="s">
        <v>148</v>
      </c>
      <c r="E17" t="s">
        <v>149</v>
      </c>
      <c r="F17" t="s">
        <v>65</v>
      </c>
      <c r="G17" t="s">
        <v>150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156</v>
      </c>
      <c r="N17" t="s">
        <v>157</v>
      </c>
      <c r="O17" t="s">
        <v>158</v>
      </c>
      <c r="P17" t="str">
        <f t="shared" si="0"/>
        <v>Partial</v>
      </c>
    </row>
    <row r="18" spans="1:16" x14ac:dyDescent="0.2">
      <c r="A18" t="s">
        <v>146</v>
      </c>
      <c r="B18" t="s">
        <v>159</v>
      </c>
      <c r="C18" t="s">
        <v>160</v>
      </c>
      <c r="D18" t="s">
        <v>160</v>
      </c>
      <c r="E18" t="s">
        <v>161</v>
      </c>
      <c r="F18" t="s">
        <v>65</v>
      </c>
      <c r="G18" t="s">
        <v>150</v>
      </c>
      <c r="H18" t="s">
        <v>162</v>
      </c>
      <c r="I18" t="s">
        <v>163</v>
      </c>
      <c r="J18" t="s">
        <v>153</v>
      </c>
      <c r="K18" t="s">
        <v>154</v>
      </c>
      <c r="L18" t="s">
        <v>155</v>
      </c>
      <c r="M18" t="s">
        <v>156</v>
      </c>
      <c r="N18" t="s">
        <v>157</v>
      </c>
      <c r="O18" t="s">
        <v>164</v>
      </c>
      <c r="P18" t="str">
        <f t="shared" si="0"/>
        <v>Partial</v>
      </c>
    </row>
    <row r="19" spans="1:16" x14ac:dyDescent="0.2">
      <c r="A19" t="s">
        <v>146</v>
      </c>
      <c r="B19" t="s">
        <v>165</v>
      </c>
      <c r="C19" t="s">
        <v>166</v>
      </c>
      <c r="D19" t="s">
        <v>166</v>
      </c>
      <c r="E19" t="s">
        <v>167</v>
      </c>
      <c r="F19" t="s">
        <v>65</v>
      </c>
      <c r="G19" t="s">
        <v>150</v>
      </c>
      <c r="H19" t="s">
        <v>168</v>
      </c>
      <c r="I19" t="s">
        <v>169</v>
      </c>
      <c r="J19" t="s">
        <v>153</v>
      </c>
      <c r="K19" t="s">
        <v>154</v>
      </c>
      <c r="L19" t="s">
        <v>155</v>
      </c>
      <c r="M19" t="s">
        <v>156</v>
      </c>
      <c r="N19" t="s">
        <v>157</v>
      </c>
      <c r="O19" t="s">
        <v>170</v>
      </c>
      <c r="P19" t="str">
        <f t="shared" si="0"/>
        <v>Partial</v>
      </c>
    </row>
    <row r="20" spans="1:16" x14ac:dyDescent="0.2">
      <c r="A20" t="s">
        <v>146</v>
      </c>
      <c r="B20" t="s">
        <v>171</v>
      </c>
      <c r="C20" t="s">
        <v>172</v>
      </c>
      <c r="D20" t="s">
        <v>172</v>
      </c>
      <c r="E20" t="s">
        <v>173</v>
      </c>
      <c r="F20" t="s">
        <v>65</v>
      </c>
      <c r="G20" t="s">
        <v>150</v>
      </c>
      <c r="H20" t="s">
        <v>174</v>
      </c>
      <c r="I20" t="s">
        <v>175</v>
      </c>
      <c r="J20" t="s">
        <v>153</v>
      </c>
      <c r="K20" t="s">
        <v>154</v>
      </c>
      <c r="L20" t="s">
        <v>155</v>
      </c>
      <c r="M20" t="s">
        <v>156</v>
      </c>
      <c r="N20" t="s">
        <v>157</v>
      </c>
      <c r="O20" t="s">
        <v>170</v>
      </c>
      <c r="P20" t="str">
        <f t="shared" si="0"/>
        <v>Partial</v>
      </c>
    </row>
    <row r="21" spans="1:16" x14ac:dyDescent="0.2">
      <c r="A21" t="s">
        <v>146</v>
      </c>
      <c r="B21" t="s">
        <v>176</v>
      </c>
      <c r="C21" t="s">
        <v>177</v>
      </c>
      <c r="D21" t="s">
        <v>177</v>
      </c>
      <c r="E21" t="s">
        <v>178</v>
      </c>
      <c r="F21" t="s">
        <v>65</v>
      </c>
      <c r="G21" t="s">
        <v>150</v>
      </c>
      <c r="H21" t="s">
        <v>179</v>
      </c>
      <c r="I21" t="s">
        <v>180</v>
      </c>
      <c r="J21" t="s">
        <v>181</v>
      </c>
      <c r="K21" t="s">
        <v>182</v>
      </c>
      <c r="L21" t="s">
        <v>183</v>
      </c>
      <c r="M21" t="s">
        <v>184</v>
      </c>
      <c r="N21" t="s">
        <v>185</v>
      </c>
      <c r="O21" t="s">
        <v>186</v>
      </c>
      <c r="P21" t="str">
        <f t="shared" si="0"/>
        <v>No match</v>
      </c>
    </row>
    <row r="22" spans="1:16" x14ac:dyDescent="0.2">
      <c r="A22" t="s">
        <v>146</v>
      </c>
      <c r="B22" t="s">
        <v>187</v>
      </c>
      <c r="C22" t="s">
        <v>188</v>
      </c>
      <c r="D22" t="s">
        <v>188</v>
      </c>
      <c r="E22" t="s">
        <v>189</v>
      </c>
      <c r="F22" t="s">
        <v>65</v>
      </c>
      <c r="G22" t="s">
        <v>150</v>
      </c>
      <c r="H22" t="s">
        <v>190</v>
      </c>
      <c r="I22" t="s">
        <v>191</v>
      </c>
      <c r="J22" t="s">
        <v>153</v>
      </c>
      <c r="K22" t="s">
        <v>154</v>
      </c>
      <c r="L22" t="s">
        <v>155</v>
      </c>
      <c r="M22" t="s">
        <v>156</v>
      </c>
      <c r="N22" t="s">
        <v>157</v>
      </c>
      <c r="O22" t="s">
        <v>170</v>
      </c>
      <c r="P22" t="str">
        <f t="shared" si="0"/>
        <v>Partial</v>
      </c>
    </row>
    <row r="23" spans="1:16" x14ac:dyDescent="0.2">
      <c r="A23" t="s">
        <v>146</v>
      </c>
      <c r="B23" t="s">
        <v>192</v>
      </c>
      <c r="C23" t="s">
        <v>193</v>
      </c>
      <c r="D23" t="s">
        <v>193</v>
      </c>
      <c r="E23" t="s">
        <v>194</v>
      </c>
      <c r="F23" t="s">
        <v>65</v>
      </c>
      <c r="G23" t="s">
        <v>150</v>
      </c>
      <c r="H23" t="s">
        <v>195</v>
      </c>
      <c r="I23" t="s">
        <v>196</v>
      </c>
      <c r="J23" t="s">
        <v>153</v>
      </c>
      <c r="K23" t="s">
        <v>197</v>
      </c>
      <c r="L23" t="s">
        <v>198</v>
      </c>
      <c r="M23" t="s">
        <v>156</v>
      </c>
      <c r="N23" t="s">
        <v>157</v>
      </c>
      <c r="O23" t="s">
        <v>199</v>
      </c>
      <c r="P23" t="str">
        <f t="shared" si="0"/>
        <v>Partial</v>
      </c>
    </row>
    <row r="24" spans="1:16" x14ac:dyDescent="0.2">
      <c r="A24" t="s">
        <v>146</v>
      </c>
      <c r="B24" t="s">
        <v>200</v>
      </c>
      <c r="C24" t="s">
        <v>201</v>
      </c>
      <c r="D24" t="s">
        <v>202</v>
      </c>
      <c r="E24" t="s">
        <v>203</v>
      </c>
      <c r="F24" t="s">
        <v>204</v>
      </c>
      <c r="G24" t="s">
        <v>150</v>
      </c>
      <c r="H24" t="s">
        <v>205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211</v>
      </c>
      <c r="O24" t="s">
        <v>212</v>
      </c>
      <c r="P24" t="str">
        <f t="shared" si="0"/>
        <v>Derived</v>
      </c>
    </row>
    <row r="25" spans="1:16" x14ac:dyDescent="0.2">
      <c r="A25" t="s">
        <v>213</v>
      </c>
      <c r="B25" t="s">
        <v>214</v>
      </c>
      <c r="C25" t="s">
        <v>215</v>
      </c>
      <c r="D25" t="s">
        <v>215</v>
      </c>
      <c r="E25" t="s">
        <v>216</v>
      </c>
      <c r="F25" t="s">
        <v>217</v>
      </c>
      <c r="G25" t="s">
        <v>40</v>
      </c>
      <c r="H25" t="s">
        <v>218</v>
      </c>
      <c r="I25" t="s">
        <v>219</v>
      </c>
      <c r="J25" t="s">
        <v>43</v>
      </c>
      <c r="K25" t="s">
        <v>220</v>
      </c>
      <c r="L25" t="s">
        <v>221</v>
      </c>
      <c r="M25" t="s">
        <v>222</v>
      </c>
      <c r="N25" t="s">
        <v>223</v>
      </c>
      <c r="O25" t="s">
        <v>224</v>
      </c>
      <c r="P25" t="str">
        <f t="shared" si="0"/>
        <v>Partial</v>
      </c>
    </row>
    <row r="26" spans="1:16" x14ac:dyDescent="0.2">
      <c r="A26" t="s">
        <v>213</v>
      </c>
      <c r="B26" t="s">
        <v>225</v>
      </c>
      <c r="C26" t="s">
        <v>226</v>
      </c>
      <c r="D26" t="s">
        <v>226</v>
      </c>
      <c r="E26" t="s">
        <v>227</v>
      </c>
      <c r="F26" t="s">
        <v>65</v>
      </c>
      <c r="G26" t="s">
        <v>179</v>
      </c>
      <c r="H26" t="s">
        <v>179</v>
      </c>
      <c r="I26" t="s">
        <v>228</v>
      </c>
      <c r="J26" t="s">
        <v>181</v>
      </c>
      <c r="K26" t="s">
        <v>229</v>
      </c>
      <c r="L26" t="s">
        <v>230</v>
      </c>
      <c r="M26" t="s">
        <v>184</v>
      </c>
      <c r="N26" t="s">
        <v>231</v>
      </c>
      <c r="O26" t="s">
        <v>232</v>
      </c>
      <c r="P26" t="str">
        <f t="shared" si="0"/>
        <v>No match</v>
      </c>
    </row>
    <row r="27" spans="1:16" x14ac:dyDescent="0.2">
      <c r="A27" t="s">
        <v>213</v>
      </c>
      <c r="B27" t="s">
        <v>233</v>
      </c>
      <c r="C27" t="s">
        <v>234</v>
      </c>
      <c r="D27" t="s">
        <v>234</v>
      </c>
      <c r="E27" t="s">
        <v>235</v>
      </c>
      <c r="F27" t="s">
        <v>65</v>
      </c>
      <c r="G27" t="s">
        <v>179</v>
      </c>
      <c r="H27" t="s">
        <v>179</v>
      </c>
      <c r="I27" t="s">
        <v>228</v>
      </c>
      <c r="J27" t="s">
        <v>181</v>
      </c>
      <c r="K27" t="s">
        <v>229</v>
      </c>
      <c r="L27" t="s">
        <v>230</v>
      </c>
      <c r="M27" t="s">
        <v>184</v>
      </c>
      <c r="N27" t="s">
        <v>231</v>
      </c>
      <c r="O27" t="s">
        <v>232</v>
      </c>
      <c r="P27" t="str">
        <f t="shared" si="0"/>
        <v>No match</v>
      </c>
    </row>
    <row r="28" spans="1:16" x14ac:dyDescent="0.2">
      <c r="A28" t="s">
        <v>213</v>
      </c>
      <c r="B28" t="s">
        <v>236</v>
      </c>
      <c r="C28" t="s">
        <v>237</v>
      </c>
      <c r="D28" t="s">
        <v>237</v>
      </c>
      <c r="E28" t="s">
        <v>238</v>
      </c>
      <c r="F28" t="s">
        <v>65</v>
      </c>
      <c r="G28" t="s">
        <v>179</v>
      </c>
      <c r="H28" t="s">
        <v>179</v>
      </c>
      <c r="I28" t="s">
        <v>228</v>
      </c>
      <c r="J28" t="s">
        <v>181</v>
      </c>
      <c r="K28" t="s">
        <v>229</v>
      </c>
      <c r="L28" t="s">
        <v>230</v>
      </c>
      <c r="M28" t="s">
        <v>184</v>
      </c>
      <c r="N28" t="s">
        <v>231</v>
      </c>
      <c r="O28" t="s">
        <v>232</v>
      </c>
      <c r="P28" t="str">
        <f t="shared" si="0"/>
        <v>No match</v>
      </c>
    </row>
    <row r="29" spans="1:16" x14ac:dyDescent="0.2">
      <c r="A29" t="s">
        <v>213</v>
      </c>
      <c r="B29" t="s">
        <v>239</v>
      </c>
      <c r="C29" t="s">
        <v>240</v>
      </c>
      <c r="D29" t="s">
        <v>240</v>
      </c>
      <c r="E29" t="s">
        <v>241</v>
      </c>
      <c r="F29" t="s">
        <v>65</v>
      </c>
      <c r="G29" t="s">
        <v>179</v>
      </c>
      <c r="H29" t="s">
        <v>179</v>
      </c>
      <c r="I29" t="s">
        <v>228</v>
      </c>
      <c r="J29" t="s">
        <v>181</v>
      </c>
      <c r="K29" t="s">
        <v>229</v>
      </c>
      <c r="L29" t="s">
        <v>230</v>
      </c>
      <c r="M29" t="s">
        <v>184</v>
      </c>
      <c r="N29" t="s">
        <v>231</v>
      </c>
      <c r="O29" t="s">
        <v>232</v>
      </c>
      <c r="P29" t="str">
        <f t="shared" si="0"/>
        <v>No match</v>
      </c>
    </row>
    <row r="30" spans="1:16" x14ac:dyDescent="0.2">
      <c r="A30" t="s">
        <v>213</v>
      </c>
      <c r="B30" t="s">
        <v>242</v>
      </c>
      <c r="C30" t="s">
        <v>243</v>
      </c>
      <c r="D30" t="s">
        <v>243</v>
      </c>
      <c r="E30" t="s">
        <v>244</v>
      </c>
      <c r="F30" t="s">
        <v>65</v>
      </c>
      <c r="G30" t="s">
        <v>179</v>
      </c>
      <c r="H30" t="s">
        <v>179</v>
      </c>
      <c r="I30" t="s">
        <v>228</v>
      </c>
      <c r="J30" t="s">
        <v>181</v>
      </c>
      <c r="K30" t="s">
        <v>229</v>
      </c>
      <c r="L30" t="s">
        <v>230</v>
      </c>
      <c r="M30" t="s">
        <v>184</v>
      </c>
      <c r="N30" t="s">
        <v>231</v>
      </c>
      <c r="O30" t="s">
        <v>232</v>
      </c>
      <c r="P30" t="str">
        <f t="shared" si="0"/>
        <v>No match</v>
      </c>
    </row>
    <row r="31" spans="1:16" x14ac:dyDescent="0.2">
      <c r="A31" t="s">
        <v>213</v>
      </c>
      <c r="B31" t="s">
        <v>245</v>
      </c>
      <c r="C31" t="s">
        <v>246</v>
      </c>
      <c r="D31" t="s">
        <v>246</v>
      </c>
      <c r="E31" t="s">
        <v>247</v>
      </c>
      <c r="F31" t="s">
        <v>65</v>
      </c>
      <c r="G31" t="s">
        <v>179</v>
      </c>
      <c r="H31" t="s">
        <v>179</v>
      </c>
      <c r="I31" t="s">
        <v>228</v>
      </c>
      <c r="J31" t="s">
        <v>181</v>
      </c>
      <c r="K31" t="s">
        <v>229</v>
      </c>
      <c r="L31" t="s">
        <v>230</v>
      </c>
      <c r="M31" t="s">
        <v>184</v>
      </c>
      <c r="N31" t="s">
        <v>231</v>
      </c>
      <c r="O31" t="s">
        <v>232</v>
      </c>
      <c r="P31" t="str">
        <f t="shared" si="0"/>
        <v>No match</v>
      </c>
    </row>
    <row r="32" spans="1:16" x14ac:dyDescent="0.2">
      <c r="A32" t="s">
        <v>213</v>
      </c>
      <c r="B32" t="s">
        <v>248</v>
      </c>
      <c r="C32" t="s">
        <v>249</v>
      </c>
      <c r="D32" t="s">
        <v>249</v>
      </c>
      <c r="E32" t="s">
        <v>250</v>
      </c>
      <c r="F32" t="s">
        <v>65</v>
      </c>
      <c r="G32" t="s">
        <v>179</v>
      </c>
      <c r="H32" t="s">
        <v>179</v>
      </c>
      <c r="I32" t="s">
        <v>228</v>
      </c>
      <c r="J32" t="s">
        <v>181</v>
      </c>
      <c r="K32" t="s">
        <v>229</v>
      </c>
      <c r="L32" t="s">
        <v>230</v>
      </c>
      <c r="M32" t="s">
        <v>184</v>
      </c>
      <c r="N32" t="s">
        <v>231</v>
      </c>
      <c r="O32" t="s">
        <v>232</v>
      </c>
      <c r="P32" t="str">
        <f t="shared" si="0"/>
        <v>No match</v>
      </c>
    </row>
    <row r="33" spans="1:16" x14ac:dyDescent="0.2">
      <c r="A33" t="s">
        <v>213</v>
      </c>
      <c r="B33" t="s">
        <v>251</v>
      </c>
      <c r="C33" t="s">
        <v>252</v>
      </c>
      <c r="D33" t="s">
        <v>252</v>
      </c>
      <c r="E33" t="s">
        <v>253</v>
      </c>
      <c r="F33" t="s">
        <v>254</v>
      </c>
      <c r="G33" t="s">
        <v>179</v>
      </c>
      <c r="H33" t="s">
        <v>179</v>
      </c>
      <c r="I33" t="s">
        <v>255</v>
      </c>
      <c r="J33" t="s">
        <v>181</v>
      </c>
      <c r="K33" t="s">
        <v>229</v>
      </c>
      <c r="L33" t="s">
        <v>256</v>
      </c>
      <c r="M33" t="s">
        <v>257</v>
      </c>
      <c r="N33" t="s">
        <v>231</v>
      </c>
      <c r="O33" t="s">
        <v>258</v>
      </c>
      <c r="P33" t="str">
        <f t="shared" si="0"/>
        <v>No match</v>
      </c>
    </row>
    <row r="34" spans="1:16" x14ac:dyDescent="0.2">
      <c r="A34" t="s">
        <v>259</v>
      </c>
      <c r="B34" t="s">
        <v>260</v>
      </c>
      <c r="C34" t="s">
        <v>261</v>
      </c>
      <c r="D34" t="s">
        <v>261</v>
      </c>
      <c r="E34" t="s">
        <v>262</v>
      </c>
      <c r="F34" t="s">
        <v>263</v>
      </c>
      <c r="G34" t="s">
        <v>264</v>
      </c>
      <c r="H34" t="s">
        <v>264</v>
      </c>
      <c r="I34" t="s">
        <v>265</v>
      </c>
      <c r="J34" t="s">
        <v>266</v>
      </c>
      <c r="K34" t="s">
        <v>267</v>
      </c>
      <c r="L34" t="s">
        <v>268</v>
      </c>
      <c r="M34" t="s">
        <v>269</v>
      </c>
      <c r="N34" t="s">
        <v>270</v>
      </c>
      <c r="O34" t="s">
        <v>271</v>
      </c>
      <c r="P34" t="str">
        <f t="shared" si="0"/>
        <v>Weak partial</v>
      </c>
    </row>
    <row r="35" spans="1:16" x14ac:dyDescent="0.2">
      <c r="A35" t="s">
        <v>259</v>
      </c>
      <c r="B35" t="s">
        <v>272</v>
      </c>
      <c r="C35" t="s">
        <v>273</v>
      </c>
      <c r="D35" t="s">
        <v>273</v>
      </c>
      <c r="E35" t="s">
        <v>274</v>
      </c>
      <c r="F35" t="s">
        <v>263</v>
      </c>
      <c r="G35" t="s">
        <v>275</v>
      </c>
      <c r="H35" t="s">
        <v>275</v>
      </c>
      <c r="I35" t="s">
        <v>276</v>
      </c>
      <c r="J35" t="s">
        <v>277</v>
      </c>
      <c r="K35" t="s">
        <v>267</v>
      </c>
      <c r="L35" t="s">
        <v>278</v>
      </c>
      <c r="M35" t="s">
        <v>279</v>
      </c>
      <c r="N35" t="s">
        <v>280</v>
      </c>
      <c r="O35" t="s">
        <v>281</v>
      </c>
      <c r="P35" t="str">
        <f t="shared" si="0"/>
        <v>Weak partial</v>
      </c>
    </row>
    <row r="36" spans="1:16" x14ac:dyDescent="0.2">
      <c r="A36" t="s">
        <v>282</v>
      </c>
      <c r="B36" t="s">
        <v>283</v>
      </c>
      <c r="C36" t="s">
        <v>284</v>
      </c>
      <c r="D36" t="s">
        <v>284</v>
      </c>
      <c r="E36" t="s">
        <v>285</v>
      </c>
      <c r="F36" t="s">
        <v>263</v>
      </c>
      <c r="G36" t="s">
        <v>286</v>
      </c>
      <c r="H36" t="s">
        <v>286</v>
      </c>
      <c r="I36" t="s">
        <v>287</v>
      </c>
      <c r="J36" t="s">
        <v>288</v>
      </c>
      <c r="K36" t="s">
        <v>267</v>
      </c>
      <c r="L36" t="s">
        <v>289</v>
      </c>
      <c r="M36" t="s">
        <v>279</v>
      </c>
      <c r="N36" t="s">
        <v>290</v>
      </c>
      <c r="O36" t="s">
        <v>281</v>
      </c>
      <c r="P36" t="str">
        <f t="shared" si="0"/>
        <v>Weak partial</v>
      </c>
    </row>
    <row r="37" spans="1:16" x14ac:dyDescent="0.2">
      <c r="A37" t="s">
        <v>259</v>
      </c>
      <c r="B37" t="s">
        <v>291</v>
      </c>
      <c r="C37" t="s">
        <v>292</v>
      </c>
      <c r="D37" t="s">
        <v>293</v>
      </c>
      <c r="E37" t="s">
        <v>294</v>
      </c>
      <c r="F37" t="s">
        <v>295</v>
      </c>
      <c r="G37" t="s">
        <v>179</v>
      </c>
      <c r="H37" t="s">
        <v>179</v>
      </c>
      <c r="I37" t="s">
        <v>296</v>
      </c>
      <c r="J37" t="s">
        <v>181</v>
      </c>
      <c r="K37" t="s">
        <v>229</v>
      </c>
      <c r="L37" t="s">
        <v>297</v>
      </c>
      <c r="M37" t="s">
        <v>298</v>
      </c>
      <c r="N37" t="s">
        <v>299</v>
      </c>
      <c r="O37" t="s">
        <v>300</v>
      </c>
      <c r="P37" t="str">
        <f t="shared" si="0"/>
        <v>No match</v>
      </c>
    </row>
    <row r="38" spans="1:16" x14ac:dyDescent="0.2">
      <c r="A38" t="s">
        <v>259</v>
      </c>
      <c r="B38" t="s">
        <v>301</v>
      </c>
      <c r="C38" t="s">
        <v>302</v>
      </c>
      <c r="D38" t="s">
        <v>303</v>
      </c>
      <c r="E38" t="s">
        <v>304</v>
      </c>
      <c r="F38" t="s">
        <v>305</v>
      </c>
      <c r="G38" t="s">
        <v>179</v>
      </c>
      <c r="H38" t="s">
        <v>179</v>
      </c>
      <c r="I38" t="s">
        <v>228</v>
      </c>
      <c r="J38" t="s">
        <v>181</v>
      </c>
      <c r="K38" t="s">
        <v>229</v>
      </c>
      <c r="L38" t="s">
        <v>306</v>
      </c>
      <c r="M38" t="s">
        <v>307</v>
      </c>
      <c r="N38" t="s">
        <v>308</v>
      </c>
      <c r="O38" t="s">
        <v>309</v>
      </c>
      <c r="P38" t="str">
        <f t="shared" si="0"/>
        <v>No match</v>
      </c>
    </row>
    <row r="39" spans="1:16" x14ac:dyDescent="0.2">
      <c r="A39" t="s">
        <v>282</v>
      </c>
      <c r="B39" t="s">
        <v>310</v>
      </c>
      <c r="C39" t="s">
        <v>311</v>
      </c>
      <c r="D39" t="s">
        <v>312</v>
      </c>
      <c r="E39" t="s">
        <v>313</v>
      </c>
      <c r="F39" t="s">
        <v>314</v>
      </c>
      <c r="G39" t="s">
        <v>179</v>
      </c>
      <c r="H39" t="s">
        <v>179</v>
      </c>
      <c r="I39" t="s">
        <v>315</v>
      </c>
      <c r="J39" t="s">
        <v>181</v>
      </c>
      <c r="K39" t="s">
        <v>229</v>
      </c>
      <c r="L39" t="s">
        <v>316</v>
      </c>
      <c r="M39" t="s">
        <v>317</v>
      </c>
      <c r="N39" t="s">
        <v>318</v>
      </c>
      <c r="O39" t="s">
        <v>319</v>
      </c>
      <c r="P39" t="str">
        <f t="shared" si="0"/>
        <v>No match</v>
      </c>
    </row>
    <row r="40" spans="1:16" x14ac:dyDescent="0.2">
      <c r="A40" t="s">
        <v>320</v>
      </c>
      <c r="B40" t="s">
        <v>321</v>
      </c>
      <c r="C40" t="s">
        <v>322</v>
      </c>
      <c r="D40" t="s">
        <v>323</v>
      </c>
      <c r="E40" t="s">
        <v>324</v>
      </c>
      <c r="F40" t="s">
        <v>325</v>
      </c>
      <c r="G40" t="s">
        <v>326</v>
      </c>
      <c r="H40" t="s">
        <v>326</v>
      </c>
      <c r="I40" t="s">
        <v>327</v>
      </c>
      <c r="J40" t="s">
        <v>33</v>
      </c>
      <c r="K40" t="s">
        <v>328</v>
      </c>
      <c r="L40" t="s">
        <v>329</v>
      </c>
      <c r="M40" t="s">
        <v>330</v>
      </c>
      <c r="N40" t="s">
        <v>25</v>
      </c>
      <c r="O40" t="s">
        <v>331</v>
      </c>
      <c r="P40" t="str">
        <f t="shared" si="0"/>
        <v>Weak partial</v>
      </c>
    </row>
    <row r="41" spans="1:16" x14ac:dyDescent="0.2">
      <c r="A41" t="s">
        <v>332</v>
      </c>
      <c r="B41" t="s">
        <v>333</v>
      </c>
      <c r="C41" t="s">
        <v>334</v>
      </c>
      <c r="D41" t="s">
        <v>335</v>
      </c>
      <c r="E41" t="s">
        <v>336</v>
      </c>
      <c r="F41" t="s">
        <v>337</v>
      </c>
      <c r="G41" t="s">
        <v>338</v>
      </c>
      <c r="H41" t="s">
        <v>338</v>
      </c>
      <c r="I41" t="s">
        <v>339</v>
      </c>
      <c r="J41" t="s">
        <v>340</v>
      </c>
      <c r="K41" t="s">
        <v>341</v>
      </c>
      <c r="L41" t="s">
        <v>342</v>
      </c>
      <c r="M41" t="s">
        <v>343</v>
      </c>
      <c r="N41" t="s">
        <v>344</v>
      </c>
      <c r="O41" t="s">
        <v>345</v>
      </c>
      <c r="P41" t="str">
        <f t="shared" si="0"/>
        <v>Partial</v>
      </c>
    </row>
    <row r="42" spans="1:16" x14ac:dyDescent="0.2">
      <c r="A42" t="s">
        <v>332</v>
      </c>
      <c r="B42" t="s">
        <v>346</v>
      </c>
      <c r="C42" t="s">
        <v>334</v>
      </c>
      <c r="D42" t="s">
        <v>347</v>
      </c>
      <c r="E42" t="s">
        <v>348</v>
      </c>
      <c r="F42" t="s">
        <v>349</v>
      </c>
      <c r="G42" t="s">
        <v>338</v>
      </c>
      <c r="H42" t="s">
        <v>338</v>
      </c>
      <c r="I42" t="s">
        <v>350</v>
      </c>
      <c r="J42" t="s">
        <v>351</v>
      </c>
      <c r="K42" t="s">
        <v>352</v>
      </c>
      <c r="L42" t="s">
        <v>353</v>
      </c>
      <c r="M42" t="s">
        <v>72</v>
      </c>
      <c r="N42" t="s">
        <v>344</v>
      </c>
      <c r="O42" t="s">
        <v>354</v>
      </c>
      <c r="P42" t="str">
        <f t="shared" si="0"/>
        <v>Partial</v>
      </c>
    </row>
    <row r="43" spans="1:16" x14ac:dyDescent="0.2">
      <c r="A43" t="s">
        <v>355</v>
      </c>
      <c r="B43" t="s">
        <v>356</v>
      </c>
      <c r="C43" t="s">
        <v>357</v>
      </c>
      <c r="D43" t="s">
        <v>358</v>
      </c>
      <c r="E43" t="s">
        <v>359</v>
      </c>
      <c r="F43" t="s">
        <v>360</v>
      </c>
      <c r="G43" t="s">
        <v>361</v>
      </c>
      <c r="H43" t="s">
        <v>362</v>
      </c>
      <c r="I43" t="s">
        <v>363</v>
      </c>
      <c r="J43" t="s">
        <v>364</v>
      </c>
      <c r="K43" t="s">
        <v>208</v>
      </c>
      <c r="L43" t="s">
        <v>365</v>
      </c>
      <c r="M43" t="s">
        <v>366</v>
      </c>
      <c r="N43" t="s">
        <v>367</v>
      </c>
      <c r="O43" t="s">
        <v>368</v>
      </c>
      <c r="P43" t="str">
        <f t="shared" si="0"/>
        <v>Derived</v>
      </c>
    </row>
    <row r="44" spans="1:16" x14ac:dyDescent="0.2">
      <c r="A44" t="s">
        <v>369</v>
      </c>
      <c r="B44" t="s">
        <v>370</v>
      </c>
      <c r="C44" t="s">
        <v>179</v>
      </c>
      <c r="D44" t="s">
        <v>179</v>
      </c>
      <c r="E44" t="s">
        <v>371</v>
      </c>
      <c r="F44" t="s">
        <v>181</v>
      </c>
      <c r="G44" t="s">
        <v>150</v>
      </c>
      <c r="H44" t="s">
        <v>372</v>
      </c>
      <c r="I44" t="s">
        <v>373</v>
      </c>
      <c r="J44" t="s">
        <v>153</v>
      </c>
      <c r="K44" t="s">
        <v>374</v>
      </c>
      <c r="L44" t="s">
        <v>375</v>
      </c>
      <c r="M44" t="s">
        <v>376</v>
      </c>
      <c r="N44" t="s">
        <v>377</v>
      </c>
      <c r="O44" t="s">
        <v>378</v>
      </c>
      <c r="P44" t="str">
        <f t="shared" si="0"/>
        <v>No match</v>
      </c>
    </row>
    <row r="45" spans="1:16" x14ac:dyDescent="0.2">
      <c r="A45" t="s">
        <v>369</v>
      </c>
      <c r="B45" t="s">
        <v>379</v>
      </c>
      <c r="C45" t="s">
        <v>179</v>
      </c>
      <c r="D45" t="s">
        <v>179</v>
      </c>
      <c r="E45" t="s">
        <v>380</v>
      </c>
      <c r="F45" t="s">
        <v>181</v>
      </c>
      <c r="G45" t="s">
        <v>326</v>
      </c>
      <c r="H45" t="s">
        <v>326</v>
      </c>
      <c r="I45" t="s">
        <v>381</v>
      </c>
      <c r="J45" t="s">
        <v>33</v>
      </c>
      <c r="K45" t="s">
        <v>374</v>
      </c>
      <c r="L45" t="s">
        <v>382</v>
      </c>
      <c r="M45" t="s">
        <v>369</v>
      </c>
      <c r="N45" t="s">
        <v>383</v>
      </c>
      <c r="O45" t="s">
        <v>384</v>
      </c>
      <c r="P45" t="str">
        <f t="shared" si="0"/>
        <v>No match</v>
      </c>
    </row>
    <row r="46" spans="1:16" x14ac:dyDescent="0.2">
      <c r="A46" t="s">
        <v>369</v>
      </c>
      <c r="B46" t="s">
        <v>385</v>
      </c>
      <c r="C46" t="s">
        <v>179</v>
      </c>
      <c r="D46" t="s">
        <v>179</v>
      </c>
      <c r="E46" t="s">
        <v>386</v>
      </c>
      <c r="F46" t="s">
        <v>181</v>
      </c>
      <c r="G46" t="s">
        <v>275</v>
      </c>
      <c r="H46" t="s">
        <v>275</v>
      </c>
      <c r="I46" t="s">
        <v>276</v>
      </c>
      <c r="J46" t="s">
        <v>277</v>
      </c>
      <c r="K46" t="s">
        <v>387</v>
      </c>
      <c r="L46" t="s">
        <v>388</v>
      </c>
      <c r="M46" t="s">
        <v>369</v>
      </c>
      <c r="N46" t="s">
        <v>389</v>
      </c>
      <c r="O46" t="s">
        <v>390</v>
      </c>
      <c r="P46" t="str">
        <f t="shared" si="0"/>
        <v>No match</v>
      </c>
    </row>
    <row r="47" spans="1:16" x14ac:dyDescent="0.2">
      <c r="A47" t="s">
        <v>369</v>
      </c>
      <c r="B47" t="s">
        <v>391</v>
      </c>
      <c r="C47" t="s">
        <v>179</v>
      </c>
      <c r="D47" t="s">
        <v>179</v>
      </c>
      <c r="E47" t="s">
        <v>392</v>
      </c>
      <c r="F47" t="s">
        <v>181</v>
      </c>
      <c r="G47" t="s">
        <v>286</v>
      </c>
      <c r="H47" t="s">
        <v>286</v>
      </c>
      <c r="I47" t="s">
        <v>287</v>
      </c>
      <c r="J47" t="s">
        <v>288</v>
      </c>
      <c r="K47" t="s">
        <v>387</v>
      </c>
      <c r="L47" t="s">
        <v>393</v>
      </c>
      <c r="M47" t="s">
        <v>369</v>
      </c>
      <c r="N47" t="s">
        <v>394</v>
      </c>
      <c r="O47" t="s">
        <v>390</v>
      </c>
      <c r="P47" t="str">
        <f>IF(ISNUMBER(SEARCH("No match",K47)),"No match",IF(ISNUMBER(SEARCH("Weak partial",K47)),"Weak partial",IF(LEFT(K47,7)="Derived","Derived",IF(LEFT(K47,5)="Exact","Exact",IF(LEFT(K47,7)="Partial","Partial","")))))</f>
        <v>No match</v>
      </c>
    </row>
    <row r="48" spans="1:16" x14ac:dyDescent="0.2">
      <c r="A48" t="s">
        <v>395</v>
      </c>
      <c r="B48" t="s">
        <v>396</v>
      </c>
      <c r="C48" t="s">
        <v>181</v>
      </c>
      <c r="D48" t="s">
        <v>397</v>
      </c>
      <c r="E48" t="s">
        <v>398</v>
      </c>
      <c r="F48" t="s">
        <v>399</v>
      </c>
      <c r="G48" t="s">
        <v>181</v>
      </c>
      <c r="H48" t="s">
        <v>397</v>
      </c>
      <c r="I48" t="s">
        <v>398</v>
      </c>
      <c r="J48" t="s">
        <v>399</v>
      </c>
      <c r="K48" t="s">
        <v>400</v>
      </c>
      <c r="L48" t="s">
        <v>401</v>
      </c>
      <c r="M48" t="s">
        <v>402</v>
      </c>
      <c r="N48" t="s">
        <v>403</v>
      </c>
      <c r="O48" t="s">
        <v>404</v>
      </c>
      <c r="P48" t="str">
        <f t="shared" si="0"/>
        <v>Exact</v>
      </c>
    </row>
    <row r="49" spans="1:16" x14ac:dyDescent="0.2">
      <c r="A49" t="s">
        <v>395</v>
      </c>
      <c r="B49" t="s">
        <v>405</v>
      </c>
      <c r="C49" t="s">
        <v>406</v>
      </c>
      <c r="D49" t="s">
        <v>406</v>
      </c>
      <c r="E49" t="s">
        <v>407</v>
      </c>
      <c r="F49" t="s">
        <v>408</v>
      </c>
      <c r="G49" t="s">
        <v>409</v>
      </c>
      <c r="H49" t="s">
        <v>410</v>
      </c>
      <c r="I49" t="s">
        <v>411</v>
      </c>
      <c r="J49" t="s">
        <v>408</v>
      </c>
      <c r="K49" t="s">
        <v>400</v>
      </c>
      <c r="L49" t="s">
        <v>412</v>
      </c>
      <c r="M49" t="s">
        <v>413</v>
      </c>
      <c r="N49" t="s">
        <v>414</v>
      </c>
      <c r="O49" t="s">
        <v>415</v>
      </c>
      <c r="P49" t="str">
        <f t="shared" si="0"/>
        <v>Exact</v>
      </c>
    </row>
    <row r="50" spans="1:16" x14ac:dyDescent="0.2">
      <c r="A50" t="s">
        <v>395</v>
      </c>
      <c r="B50" t="s">
        <v>416</v>
      </c>
      <c r="C50" t="s">
        <v>179</v>
      </c>
      <c r="D50" t="s">
        <v>179</v>
      </c>
      <c r="E50" t="s">
        <v>417</v>
      </c>
      <c r="F50" t="s">
        <v>181</v>
      </c>
      <c r="G50" t="s">
        <v>409</v>
      </c>
      <c r="H50" t="s">
        <v>418</v>
      </c>
      <c r="I50" t="s">
        <v>419</v>
      </c>
      <c r="J50" t="s">
        <v>420</v>
      </c>
      <c r="K50" t="s">
        <v>421</v>
      </c>
      <c r="L50" t="s">
        <v>422</v>
      </c>
      <c r="M50" t="s">
        <v>423</v>
      </c>
      <c r="N50" t="s">
        <v>424</v>
      </c>
      <c r="O50" t="s">
        <v>425</v>
      </c>
      <c r="P50" t="str">
        <f t="shared" si="0"/>
        <v>Partial</v>
      </c>
    </row>
    <row r="51" spans="1:16" x14ac:dyDescent="0.2">
      <c r="A51" t="s">
        <v>395</v>
      </c>
      <c r="B51" t="s">
        <v>426</v>
      </c>
      <c r="C51" t="s">
        <v>179</v>
      </c>
      <c r="D51" t="s">
        <v>179</v>
      </c>
      <c r="E51" t="s">
        <v>427</v>
      </c>
      <c r="F51" t="s">
        <v>181</v>
      </c>
      <c r="G51" t="s">
        <v>409</v>
      </c>
      <c r="H51" t="s">
        <v>428</v>
      </c>
      <c r="I51" t="s">
        <v>429</v>
      </c>
      <c r="J51" t="s">
        <v>430</v>
      </c>
      <c r="K51" t="s">
        <v>421</v>
      </c>
      <c r="L51" t="s">
        <v>431</v>
      </c>
      <c r="M51" t="s">
        <v>432</v>
      </c>
      <c r="N51" t="s">
        <v>424</v>
      </c>
      <c r="O51" t="s">
        <v>433</v>
      </c>
      <c r="P51" t="str">
        <f t="shared" si="0"/>
        <v>Partial</v>
      </c>
    </row>
  </sheetData>
  <autoFilter ref="A1:O51" xr:uid="{41F5E13E-0A01-5747-94BF-6E4C87F67F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ConceptDomain_Summary</vt:lpstr>
      <vt:lpstr>MatchType_Summary</vt:lpstr>
      <vt:lpstr>crosswalk_Table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Singnath, Abhishek</dc:creator>
  <cp:lastModifiedBy>Singnath, Abhishek</cp:lastModifiedBy>
  <dcterms:created xsi:type="dcterms:W3CDTF">2026-03-03T02:18:21Z</dcterms:created>
  <dcterms:modified xsi:type="dcterms:W3CDTF">2026-03-04T16:40:45Z</dcterms:modified>
</cp:coreProperties>
</file>